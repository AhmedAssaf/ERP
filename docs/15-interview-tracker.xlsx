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Interviews" sheetId="3" state="visible" r:id="rId3"/>
    <sheet xmlns:r="http://schemas.openxmlformats.org/officeDocument/2006/relationships" name="Gate 1" sheetId="4" state="visible" r:id="rId4"/>
  </sheets>
  <definedNames>
    <definedName name="_xlnm._FilterDatabase" localSheetId="1" hidden="1">'Leads'!$A$1:$Q$201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  <font>
      <name val="Arial"/>
      <b val="1"/>
      <sz val="13"/>
    </font>
    <font>
      <name val="Arial"/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6" fillId="3" borderId="1" pivotButton="0" quotePrefix="0" xfId="0"/>
    <xf numFmtId="0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0" fontId="7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Kit</author>
  </authors>
  <commentList>
    <comment ref="X1" authorId="0" shapeId="0">
      <text>
        <t>Type the tender name and month, or leave blank if none. Gate 1 counts non-blank cells from row 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Interview tracker (W-13, W-16, W-31)</t>
        </is>
      </c>
    </row>
    <row r="2">
      <c r="A2" s="2" t="inlineStr">
        <is>
          <t>Companion to docs/15-interview-kit.md. Excel recalculates on open.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Leads: one row per person. Type in the blue cells; pick Status, Segment, Source and Message from the lists.</t>
        </is>
      </c>
    </row>
    <row r="6">
      <c r="A6" s="2" t="inlineStr">
        <is>
          <t>2. Interviews: one row per held interview, written the same day, following docs/15 section 6.</t>
        </is>
      </c>
    </row>
    <row r="7">
      <c r="A7" s="2" t="inlineStr">
        <is>
          <t>3. Gate 1: fills itself from the Interviews sheet and shows PASS, NOT YET or FAIL. Thresholds are the yellow cells.</t>
        </is>
      </c>
    </row>
    <row r="8">
      <c r="A8" s="2" t="inlineStr"/>
    </row>
    <row r="9">
      <c r="A9" s="3" t="inlineStr">
        <is>
          <t>Colours</t>
        </is>
      </c>
    </row>
    <row r="10">
      <c r="A10" s="2" t="inlineStr">
        <is>
          <t>Blue text = you type it. Black = formula, do not edit. Grey italic row 2 = example; overwrite or leave it, it is never counted.</t>
        </is>
      </c>
    </row>
    <row r="11">
      <c r="A11" s="2" t="inlineStr"/>
    </row>
    <row r="12">
      <c r="A12" s="3" t="inlineStr">
        <is>
          <t>Rules</t>
        </is>
      </c>
    </row>
    <row r="13">
      <c r="A13" s="2" t="inlineStr">
        <is>
          <t>Contact people one at a time; no scraping or bulk email (PDPL and LinkedIn rules).</t>
        </is>
      </c>
    </row>
    <row r="14">
      <c r="A14" s="2" t="inlineStr">
        <is>
          <t>Keep personal data to name, role, company and a work contact; delete the row of anyone who asks.</t>
        </is>
      </c>
    </row>
    <row r="15">
      <c r="A15" s="2" t="inlineStr">
        <is>
          <t>Keep this separate from your employer: no employer clients, contacts or working hours.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4" customWidth="1" min="4" max="4"/>
    <col width="18" customWidth="1" min="5" max="5"/>
    <col width="10" customWidth="1" min="6" max="6"/>
    <col width="24" customWidth="1" min="7" max="7"/>
    <col width="12" customWidth="1" min="8" max="8"/>
    <col width="22" customWidth="1" min="9" max="9"/>
    <col width="18" customWidth="1" min="10" max="10"/>
    <col width="34" customWidth="1" min="11" max="11"/>
    <col width="13" customWidth="1" min="12" max="12"/>
    <col width="12" customWidth="1" min="13" max="13"/>
    <col width="16" customWidth="1" min="14" max="14"/>
    <col width="28" customWidth="1" min="15" max="15"/>
    <col width="13" customWidth="1" min="16" max="16"/>
    <col width="34" customWidth="1" min="17" max="17"/>
  </cols>
  <sheetData>
    <row r="1" ht="32" customHeight="1">
      <c r="A1" s="4" t="inlineStr">
        <is>
          <t>#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Company</t>
        </is>
      </c>
      <c r="E1" s="4" t="inlineStr">
        <is>
          <t>Sector</t>
        </is>
      </c>
      <c r="F1" s="4" t="inlineStr">
        <is>
          <t>Staff (approx)</t>
        </is>
      </c>
      <c r="G1" s="4" t="inlineStr">
        <is>
          <t>Segment</t>
        </is>
      </c>
      <c r="H1" s="4" t="inlineStr">
        <is>
          <t>City</t>
        </is>
      </c>
      <c r="I1" s="4" t="inlineStr">
        <is>
          <t>Source</t>
        </is>
      </c>
      <c r="J1" s="4" t="inlineStr">
        <is>
          <t>Introduced by</t>
        </is>
      </c>
      <c r="K1" s="4" t="inlineStr">
        <is>
          <t>Contact (work email or LinkedIn URL)</t>
        </is>
      </c>
      <c r="L1" s="4" t="inlineStr">
        <is>
          <t>First contact date</t>
        </is>
      </c>
      <c r="M1" s="4" t="inlineStr">
        <is>
          <t>Message used (docs/15)</t>
        </is>
      </c>
      <c r="N1" s="4" t="inlineStr">
        <is>
          <t>Status</t>
        </is>
      </c>
      <c r="O1" s="4" t="inlineStr">
        <is>
          <t>Next step</t>
        </is>
      </c>
      <c r="P1" s="4" t="inlineStr">
        <is>
          <t>Next step date</t>
        </is>
      </c>
      <c r="Q1" s="4" t="inlineStr">
        <is>
          <t>Notes</t>
        </is>
      </c>
    </row>
    <row r="2">
      <c r="A2" s="5" t="n">
        <v>1</v>
      </c>
      <c r="B2" s="5" t="inlineStr">
        <is>
          <t>Example: Khalid A.</t>
        </is>
      </c>
      <c r="C2" s="5" t="inlineStr">
        <is>
          <t>Procurement Manager</t>
        </is>
      </c>
      <c r="D2" s="5" t="inlineStr">
        <is>
          <t>Example Contracting Co.</t>
        </is>
      </c>
      <c r="E2" s="5" t="inlineStr">
        <is>
          <t>Construction</t>
        </is>
      </c>
      <c r="F2" s="5" t="n">
        <v>450</v>
      </c>
      <c r="G2" s="5" t="inlineStr">
        <is>
          <t>Government contractor</t>
        </is>
      </c>
      <c r="H2" s="5" t="inlineStr">
        <is>
          <t>Riyadh</t>
        </is>
      </c>
      <c r="I2" s="5" t="inlineStr">
        <is>
          <t>Friend introduction</t>
        </is>
      </c>
      <c r="J2" s="5" t="inlineStr">
        <is>
          <t>Friend name</t>
        </is>
      </c>
      <c r="K2" s="5" t="inlineStr">
        <is>
          <t>linkedin.com/in/example</t>
        </is>
      </c>
      <c r="L2" s="5" t="inlineStr">
        <is>
          <t>2026-10-05</t>
        </is>
      </c>
      <c r="M2" s="5" t="inlineStr">
        <is>
          <t>A</t>
        </is>
      </c>
      <c r="N2" s="5" t="inlineStr">
        <is>
          <t>Meeting booked</t>
        </is>
      </c>
      <c r="O2" s="5" t="inlineStr">
        <is>
          <t>Interview</t>
        </is>
      </c>
      <c r="P2" s="5" t="inlineStr">
        <is>
          <t>2026-10-08</t>
        </is>
      </c>
      <c r="Q2" s="5" t="inlineStr">
        <is>
          <t>Has a subcontractor tender in November</t>
        </is>
      </c>
    </row>
    <row r="3">
      <c r="A3" s="2">
        <f>IF(B3="","",ROW()-2)</f>
        <v/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2">
        <f>IF(B4="","",ROW()-2)</f>
        <v/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2">
        <f>IF(B5="","",ROW()-2)</f>
        <v/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2">
        <f>IF(B6="","",ROW()-2)</f>
        <v/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2">
        <f>IF(B7="","",ROW()-2)</f>
        <v/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2">
        <f>IF(B8="","",ROW()-2)</f>
        <v/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2">
        <f>IF(B9="","",ROW()-2)</f>
        <v/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2">
        <f>IF(B10="","",ROW()-2)</f>
        <v/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2">
        <f>IF(B11="","",ROW()-2)</f>
        <v/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2">
        <f>IF(B12="","",ROW()-2)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2">
        <f>IF(B13="","",ROW()-2)</f>
        <v/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2">
        <f>IF(B14="","",ROW()-2)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2">
        <f>IF(B15="","",ROW()-2)</f>
        <v/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2">
        <f>IF(B16="","",ROW()-2)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2">
        <f>IF(B17="","",ROW()-2)</f>
        <v/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2">
        <f>IF(B18="","",ROW()-2)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2">
        <f>IF(B19="","",ROW()-2)</f>
        <v/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2">
        <f>IF(B20="","",ROW()-2)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2">
        <f>IF(B21="","",ROW()-2)</f>
        <v/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2">
        <f>IF(B22="","",ROW()-2)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2">
        <f>IF(B23="","",ROW()-2)</f>
        <v/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2">
        <f>IF(B24="","",ROW()-2)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2">
        <f>IF(B25="","",ROW()-2)</f>
        <v/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2">
        <f>IF(B26="","",ROW()-2)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2">
        <f>IF(B27="","",ROW()-2)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2">
        <f>IF(B28="","",ROW()-2)</f>
        <v/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2">
        <f>IF(B29="","",ROW()-2)</f>
        <v/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2">
        <f>IF(B30="","",ROW()-2)</f>
        <v/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2">
        <f>IF(B31="","",ROW()-2)</f>
        <v/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2">
        <f>IF(B32="","",ROW()-2)</f>
        <v/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2">
        <f>IF(B33="","",ROW()-2)</f>
        <v/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2">
        <f>IF(B34="","",ROW()-2)</f>
        <v/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2">
        <f>IF(B35="","",ROW()-2)</f>
        <v/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2">
        <f>IF(B36="","",ROW()-2)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2">
        <f>IF(B37="","",ROW()-2)</f>
        <v/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2">
        <f>IF(B38="","",ROW()-2)</f>
        <v/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2">
        <f>IF(B39="","",ROW()-2)</f>
        <v/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2">
        <f>IF(B40="","",ROW()-2)</f>
        <v/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2">
        <f>IF(B41="","",ROW()-2)</f>
        <v/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2">
        <f>IF(B42="","",ROW()-2)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2">
        <f>IF(B43="","",ROW()-2)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2">
        <f>IF(B44="","",ROW()-2)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2">
        <f>IF(B45="","",ROW()-2)</f>
        <v/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2">
        <f>IF(B46="","",ROW()-2)</f>
        <v/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2">
        <f>IF(B47="","",ROW()-2)</f>
        <v/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2">
        <f>IF(B48="","",ROW()-2)</f>
        <v/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2">
        <f>IF(B49="","",ROW()-2)</f>
        <v/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2">
        <f>IF(B50="","",ROW()-2)</f>
        <v/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2">
        <f>IF(B51="","",ROW()-2)</f>
        <v/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2">
        <f>IF(B52="","",ROW()-2)</f>
        <v/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2">
        <f>IF(B53="","",ROW()-2)</f>
        <v/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2">
        <f>IF(B54="","",ROW()-2)</f>
        <v/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2">
        <f>IF(B55="","",ROW()-2)</f>
        <v/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2">
        <f>IF(B56="","",ROW()-2)</f>
        <v/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2">
        <f>IF(B57="","",ROW()-2)</f>
        <v/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2">
        <f>IF(B58="","",ROW()-2)</f>
        <v/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2">
        <f>IF(B59="","",ROW()-2)</f>
        <v/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2">
        <f>IF(B60="","",ROW()-2)</f>
        <v/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2">
        <f>IF(B61="","",ROW()-2)</f>
        <v/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2">
        <f>IF(B62="","",ROW()-2)</f>
        <v/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2">
        <f>IF(B63="","",ROW()-2)</f>
        <v/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2">
        <f>IF(B64="","",ROW()-2)</f>
        <v/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2">
        <f>IF(B65="","",ROW()-2)</f>
        <v/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2">
        <f>IF(B66="","",ROW()-2)</f>
        <v/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2">
        <f>IF(B67="","",ROW()-2)</f>
        <v/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2">
        <f>IF(B68="","",ROW()-2)</f>
        <v/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2">
        <f>IF(B69="","",ROW()-2)</f>
        <v/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2">
        <f>IF(B70="","",ROW()-2)</f>
        <v/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2">
        <f>IF(B71="","",ROW()-2)</f>
        <v/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2">
        <f>IF(B72="","",ROW()-2)</f>
        <v/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2">
        <f>IF(B73="","",ROW()-2)</f>
        <v/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2">
        <f>IF(B74="","",ROW()-2)</f>
        <v/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2">
        <f>IF(B75="","",ROW()-2)</f>
        <v/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2">
        <f>IF(B76="","",ROW()-2)</f>
        <v/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2">
        <f>IF(B77="","",ROW()-2)</f>
        <v/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2">
        <f>IF(B78="","",ROW()-2)</f>
        <v/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2">
        <f>IF(B79="","",ROW()-2)</f>
        <v/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2">
        <f>IF(B80="","",ROW()-2)</f>
        <v/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2">
        <f>IF(B81="","",ROW()-2)</f>
        <v/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2">
        <f>IF(B82="","",ROW()-2)</f>
        <v/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A83" s="2">
        <f>IF(B83="","",ROW()-2)</f>
        <v/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2">
        <f>IF(B84="","",ROW()-2)</f>
        <v/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2">
        <f>IF(B85="","",ROW()-2)</f>
        <v/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2">
        <f>IF(B86="","",ROW()-2)</f>
        <v/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2">
        <f>IF(B87="","",ROW()-2)</f>
        <v/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2">
        <f>IF(B88="","",ROW()-2)</f>
        <v/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2">
        <f>IF(B89="","",ROW()-2)</f>
        <v/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2">
        <f>IF(B90="","",ROW()-2)</f>
        <v/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A91" s="2">
        <f>IF(B91="","",ROW()-2)</f>
        <v/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2">
        <f>IF(B92="","",ROW()-2)</f>
        <v/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A93" s="2">
        <f>IF(B93="","",ROW()-2)</f>
        <v/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2">
        <f>IF(B94="","",ROW()-2)</f>
        <v/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2">
        <f>IF(B95="","",ROW()-2)</f>
        <v/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2">
        <f>IF(B96="","",ROW()-2)</f>
        <v/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A97" s="2">
        <f>IF(B97="","",ROW()-2)</f>
        <v/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2">
        <f>IF(B98="","",ROW()-2)</f>
        <v/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A99" s="2">
        <f>IF(B99="","",ROW()-2)</f>
        <v/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2">
        <f>IF(B100="","",ROW()-2)</f>
        <v/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A101" s="2">
        <f>IF(B101="","",ROW()-2)</f>
        <v/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2">
        <f>IF(B102="","",ROW()-2)</f>
        <v/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2">
        <f>IF(B103="","",ROW()-2)</f>
        <v/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2">
        <f>IF(B104="","",ROW()-2)</f>
        <v/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2">
        <f>IF(B105="","",ROW()-2)</f>
        <v/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2">
        <f>IF(B106="","",ROW()-2)</f>
        <v/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2">
        <f>IF(B107="","",ROW()-2)</f>
        <v/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2">
        <f>IF(B108="","",ROW()-2)</f>
        <v/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2">
        <f>IF(B109="","",ROW()-2)</f>
        <v/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2">
        <f>IF(B110="","",ROW()-2)</f>
        <v/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2">
        <f>IF(B111="","",ROW()-2)</f>
        <v/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2">
        <f>IF(B112="","",ROW()-2)</f>
        <v/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2">
        <f>IF(B113="","",ROW()-2)</f>
        <v/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2">
        <f>IF(B114="","",ROW()-2)</f>
        <v/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2">
        <f>IF(B115="","",ROW()-2)</f>
        <v/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2">
        <f>IF(B116="","",ROW()-2)</f>
        <v/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2">
        <f>IF(B117="","",ROW()-2)</f>
        <v/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2">
        <f>IF(B118="","",ROW()-2)</f>
        <v/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2">
        <f>IF(B119="","",ROW()-2)</f>
        <v/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2">
        <f>IF(B120="","",ROW()-2)</f>
        <v/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2">
        <f>IF(B121="","",ROW()-2)</f>
        <v/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2">
        <f>IF(B122="","",ROW()-2)</f>
        <v/>
      </c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2">
        <f>IF(B123="","",ROW()-2)</f>
        <v/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2">
        <f>IF(B124="","",ROW()-2)</f>
        <v/>
      </c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2">
        <f>IF(B125="","",ROW()-2)</f>
        <v/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2">
        <f>IF(B126="","",ROW()-2)</f>
        <v/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2">
        <f>IF(B127="","",ROW()-2)</f>
        <v/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2">
        <f>IF(B128="","",ROW()-2)</f>
        <v/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2">
        <f>IF(B129="","",ROW()-2)</f>
        <v/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2">
        <f>IF(B130="","",ROW()-2)</f>
        <v/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2">
        <f>IF(B131="","",ROW()-2)</f>
        <v/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2">
        <f>IF(B132="","",ROW()-2)</f>
        <v/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2">
        <f>IF(B133="","",ROW()-2)</f>
        <v/>
      </c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2">
        <f>IF(B134="","",ROW()-2)</f>
        <v/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2">
        <f>IF(B135="","",ROW()-2)</f>
        <v/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2">
        <f>IF(B136="","",ROW()-2)</f>
        <v/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2">
        <f>IF(B137="","",ROW()-2)</f>
        <v/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2">
        <f>IF(B138="","",ROW()-2)</f>
        <v/>
      </c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2">
        <f>IF(B139="","",ROW()-2)</f>
        <v/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2">
        <f>IF(B140="","",ROW()-2)</f>
        <v/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2">
        <f>IF(B141="","",ROW()-2)</f>
        <v/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2">
        <f>IF(B142="","",ROW()-2)</f>
        <v/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2">
        <f>IF(B143="","",ROW()-2)</f>
        <v/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2">
        <f>IF(B144="","",ROW()-2)</f>
        <v/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2">
        <f>IF(B145="","",ROW()-2)</f>
        <v/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2">
        <f>IF(B146="","",ROW()-2)</f>
        <v/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2">
        <f>IF(B147="","",ROW()-2)</f>
        <v/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2">
        <f>IF(B148="","",ROW()-2)</f>
        <v/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2">
        <f>IF(B149="","",ROW()-2)</f>
        <v/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2">
        <f>IF(B150="","",ROW()-2)</f>
        <v/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2">
        <f>IF(B151="","",ROW()-2)</f>
        <v/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2">
        <f>IF(B152="","",ROW()-2)</f>
        <v/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2">
        <f>IF(B153="","",ROW()-2)</f>
        <v/>
      </c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2">
        <f>IF(B154="","",ROW()-2)</f>
        <v/>
      </c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2">
        <f>IF(B155="","",ROW()-2)</f>
        <v/>
      </c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2">
        <f>IF(B156="","",ROW()-2)</f>
        <v/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2">
        <f>IF(B157="","",ROW()-2)</f>
        <v/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2">
        <f>IF(B158="","",ROW()-2)</f>
        <v/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2">
        <f>IF(B159="","",ROW()-2)</f>
        <v/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2">
        <f>IF(B160="","",ROW()-2)</f>
        <v/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2">
        <f>IF(B161="","",ROW()-2)</f>
        <v/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2">
        <f>IF(B162="","",ROW()-2)</f>
        <v/>
      </c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2">
        <f>IF(B163="","",ROW()-2)</f>
        <v/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2">
        <f>IF(B164="","",ROW()-2)</f>
        <v/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2">
        <f>IF(B165="","",ROW()-2)</f>
        <v/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2">
        <f>IF(B166="","",ROW()-2)</f>
        <v/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2">
        <f>IF(B167="","",ROW()-2)</f>
        <v/>
      </c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2">
        <f>IF(B168="","",ROW()-2)</f>
        <v/>
      </c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2">
        <f>IF(B169="","",ROW()-2)</f>
        <v/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2">
        <f>IF(B170="","",ROW()-2)</f>
        <v/>
      </c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2">
        <f>IF(B171="","",ROW()-2)</f>
        <v/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2">
        <f>IF(B172="","",ROW()-2)</f>
        <v/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2">
        <f>IF(B173="","",ROW()-2)</f>
        <v/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2">
        <f>IF(B174="","",ROW()-2)</f>
        <v/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2">
        <f>IF(B175="","",ROW()-2)</f>
        <v/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2">
        <f>IF(B176="","",ROW()-2)</f>
        <v/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2">
        <f>IF(B177="","",ROW()-2)</f>
        <v/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2">
        <f>IF(B178="","",ROW()-2)</f>
        <v/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2">
        <f>IF(B179="","",ROW()-2)</f>
        <v/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2">
        <f>IF(B180="","",ROW()-2)</f>
        <v/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2">
        <f>IF(B181="","",ROW()-2)</f>
        <v/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2">
        <f>IF(B182="","",ROW()-2)</f>
        <v/>
      </c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2">
        <f>IF(B183="","",ROW()-2)</f>
        <v/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2">
        <f>IF(B184="","",ROW()-2)</f>
        <v/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2">
        <f>IF(B185="","",ROW()-2)</f>
        <v/>
      </c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2">
        <f>IF(B186="","",ROW()-2)</f>
        <v/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2">
        <f>IF(B187="","",ROW()-2)</f>
        <v/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2">
        <f>IF(B188="","",ROW()-2)</f>
        <v/>
      </c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2">
        <f>IF(B189="","",ROW()-2)</f>
        <v/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2">
        <f>IF(B190="","",ROW()-2)</f>
        <v/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2">
        <f>IF(B191="","",ROW()-2)</f>
        <v/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2">
        <f>IF(B192="","",ROW()-2)</f>
        <v/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2">
        <f>IF(B193="","",ROW()-2)</f>
        <v/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2">
        <f>IF(B194="","",ROW()-2)</f>
        <v/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2">
        <f>IF(B195="","",ROW()-2)</f>
        <v/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2">
        <f>IF(B196="","",ROW()-2)</f>
        <v/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2">
        <f>IF(B197="","",ROW()-2)</f>
        <v/>
      </c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2">
        <f>IF(B198="","",ROW()-2)</f>
        <v/>
      </c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2">
        <f>IF(B199="","",ROW()-2)</f>
        <v/>
      </c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2">
        <f>IF(B200="","",ROW()-2)</f>
        <v/>
      </c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2">
        <f>IF(B201="","",ROW()-2)</f>
        <v/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</sheetData>
  <autoFilter ref="A1:Q201"/>
  <conditionalFormatting sqref="N2:N201">
    <cfRule type="cellIs" priority="1" operator="equal" dxfId="0">
      <formula>"Interviewed"</formula>
    </cfRule>
    <cfRule type="cellIs" priority="2" operator="equal" dxfId="1">
      <formula>"Meeting booked"</formula>
    </cfRule>
    <cfRule type="cellIs" priority="3" operator="equal" dxfId="2">
      <formula>"Declined"</formula>
    </cfRule>
  </conditionalFormatting>
  <dataValidations count="4">
    <dataValidation sqref="N2:N201" showDropDown="0" showInputMessage="0" showErrorMessage="0" allowBlank="1" type="list">
      <formula1>"To contact,Contacted,Replied,Meeting booked,Interviewed,Declined,No reply"</formula1>
    </dataValidation>
    <dataValidation sqref="G2:G201" showDropDown="0" showInputMessage="0" showErrorMessage="0" allowBlank="1" type="list">
      <formula1>"Listed or pre-IPO,Group with internal audit,Government contractor,Disputed award,Other"</formula1>
    </dataValidation>
    <dataValidation sqref="I2:I201" showDropDown="0" showInputMessage="0" showErrorMessage="0" allowBlank="1" type="list">
      <formula1>"Own network,Friend introduction,LinkedIn,Supplier page,Tadawul or Nomu,Monafasat or Forsah,Etimad awards,Contractors Authority,Chamber event,Audit firm,Referral"</formula1>
    </dataValidation>
    <dataValidation sqref="M2:M201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2" customWidth="1" min="4" max="4"/>
    <col width="20" customWidth="1" min="5" max="5"/>
    <col width="10" customWidth="1" min="6" max="6"/>
    <col width="10" customWidth="1" min="7" max="7"/>
    <col width="22" customWidth="1" min="8" max="8"/>
    <col width="26" customWidth="1" min="9" max="9"/>
    <col width="12" customWidth="1" min="10" max="10"/>
    <col width="24" customWidth="1" min="11" max="11"/>
    <col width="24" customWidth="1" min="12" max="12"/>
    <col width="34" customWidth="1" min="13" max="13"/>
    <col width="28" customWidth="1" min="14" max="14"/>
    <col width="24" customWidth="1" min="15" max="15"/>
    <col width="26" customWidth="1" min="16" max="16"/>
    <col width="12" customWidth="1" min="17" max="17"/>
    <col width="9" customWidth="1" min="18" max="18"/>
    <col width="9" customWidth="1" min="19" max="19"/>
    <col width="9" customWidth="1" min="20" max="20"/>
    <col width="28" customWidth="1" min="21" max="21"/>
    <col width="18" customWidth="1" min="22" max="22"/>
    <col width="12" customWidth="1" min="23" max="23"/>
    <col width="24" customWidth="1" min="24" max="24"/>
    <col width="24" customWidth="1" min="25" max="25"/>
    <col width="28" customWidth="1" min="26" max="26"/>
  </cols>
  <sheetData>
    <row r="1" ht="48" customHeight="1">
      <c r="A1" s="4" t="inlineStr">
        <is>
          <t>#</t>
        </is>
      </c>
      <c r="B1" s="4" t="inlineStr">
        <is>
          <t>Date</t>
        </is>
      </c>
      <c r="C1" s="4" t="inlineStr">
        <is>
          <t>Person and role</t>
        </is>
      </c>
      <c r="D1" s="4" t="inlineStr">
        <is>
          <t>Company</t>
        </is>
      </c>
      <c r="E1" s="4" t="inlineStr">
        <is>
          <t>Segment</t>
        </is>
      </c>
      <c r="F1" s="4" t="inlineStr">
        <is>
          <t>Staff count</t>
        </is>
      </c>
      <c r="G1" s="4" t="inlineStr">
        <is>
          <t>Tenders a year</t>
        </is>
      </c>
      <c r="H1" s="4" t="inlineStr">
        <is>
          <t>Current tools (D1)</t>
        </is>
      </c>
      <c r="I1" s="4" t="inlineStr">
        <is>
          <t>Last tender: what and value</t>
        </is>
      </c>
      <c r="J1" s="4" t="inlineStr">
        <is>
          <t>Cycle time publish to PO, days (B5)</t>
        </is>
      </c>
      <c r="K1" s="4" t="inlineStr">
        <is>
          <t>Who saw prices and when (B3)</t>
        </is>
      </c>
      <c r="L1" s="4" t="inlineStr">
        <is>
          <t>Approval chain (B4)</t>
        </is>
      </c>
      <c r="M1" s="4" t="inlineStr">
        <is>
          <t>Hardest part, exact quote (C1)</t>
        </is>
      </c>
      <c r="N1" s="4" t="inlineStr">
        <is>
          <t>Disputes or audit findings (C2, C3)</t>
        </is>
      </c>
      <c r="O1" s="4" t="inlineStr">
        <is>
          <t>Money or time already spent (C4)</t>
        </is>
      </c>
      <c r="P1" s="4" t="inlineStr">
        <is>
          <t>Others looked at and quotes (D2)</t>
        </is>
      </c>
      <c r="Q1" s="4" t="inlineStr">
        <is>
          <t>Brand matters to vendors? (D3)</t>
        </is>
      </c>
      <c r="R1" s="4" t="inlineStr">
        <is>
          <t>Vault pain 0-3 (E1)</t>
        </is>
      </c>
      <c r="S1" s="4" t="inlineStr">
        <is>
          <t>Claims pain 0-3 (E2)</t>
        </is>
      </c>
      <c r="T1" s="4" t="inlineStr">
        <is>
          <t>Audit pain 0-3 (E3)</t>
        </is>
      </c>
      <c r="U1" s="4" t="inlineStr">
        <is>
          <t>Price reaction, number and words (F1)</t>
        </is>
      </c>
      <c r="V1" s="4" t="inlineStr">
        <is>
          <t>Budget owner (F2)</t>
        </is>
      </c>
      <c r="W1" s="4" t="inlineStr">
        <is>
          <t>Would pay SAR 1,500+ a month?</t>
        </is>
      </c>
      <c r="X1" s="4" t="inlineStr">
        <is>
          <t>Named pilot tender (G1)</t>
        </is>
      </c>
      <c r="Y1" s="4" t="inlineStr">
        <is>
          <t>Referrals (G2)</t>
        </is>
      </c>
      <c r="Z1" s="4" t="inlineStr">
        <is>
          <t>Surprise</t>
        </is>
      </c>
    </row>
    <row r="2">
      <c r="A2" s="7" t="n">
        <v>1</v>
      </c>
      <c r="B2" s="7" t="inlineStr">
        <is>
          <t>2026-10-08</t>
        </is>
      </c>
      <c r="C2" s="7" t="inlineStr">
        <is>
          <t>Example: Khalid A., Procurement Manager</t>
        </is>
      </c>
      <c r="D2" s="7" t="inlineStr">
        <is>
          <t>Example Contracting Co.</t>
        </is>
      </c>
      <c r="E2" s="7" t="inlineStr">
        <is>
          <t>Government contractor</t>
        </is>
      </c>
      <c r="F2" s="7" t="n">
        <v>450</v>
      </c>
      <c r="G2" s="7" t="n">
        <v>24</v>
      </c>
      <c r="H2" s="7" t="inlineStr">
        <is>
          <t>ERP for POs; Excel and email for offers</t>
        </is>
      </c>
      <c r="I2" s="7" t="inlineStr">
        <is>
          <t>MEP subcontract, SAR 3.2M</t>
        </is>
      </c>
      <c r="J2" s="7" t="n">
        <v>41</v>
      </c>
      <c r="K2" s="7" t="inlineStr">
        <is>
          <t>Procurement manager, as offers arrived by email</t>
        </is>
      </c>
      <c r="L2" s="7" t="inlineStr">
        <is>
          <t>Procurement, project director, CFO</t>
        </is>
      </c>
      <c r="M2" s="7" t="inlineStr">
        <is>
          <t>"We lose two weeks chasing signatures and nobody trusts the comparison sheet"</t>
        </is>
      </c>
      <c r="N2" s="7" t="inlineStr">
        <is>
          <t>A losing bidder complained to the CEO last year</t>
        </is>
      </c>
      <c r="O2" s="7" t="inlineStr">
        <is>
          <t>Tried a SharePoint list, abandoned</t>
        </is>
      </c>
      <c r="P2" s="7" t="inlineStr">
        <is>
          <t>None</t>
        </is>
      </c>
      <c r="Q2" s="7" t="inlineStr">
        <is>
          <t>Yes</t>
        </is>
      </c>
      <c r="R2" s="7" t="n">
        <v>2</v>
      </c>
      <c r="S2" s="7" t="n">
        <v>3</v>
      </c>
      <c r="T2" s="7" t="n">
        <v>1</v>
      </c>
      <c r="U2" s="7" t="inlineStr">
        <is>
          <t>Said 3,000 is fine if it answers the audit questions</t>
        </is>
      </c>
      <c r="V2" s="7" t="inlineStr">
        <is>
          <t>CFO, operations budget</t>
        </is>
      </c>
      <c r="W2" s="7" t="inlineStr">
        <is>
          <t>Yes</t>
        </is>
      </c>
      <c r="X2" s="7" t="inlineStr">
        <is>
          <t>November MEP subcontract</t>
        </is>
      </c>
      <c r="Y2" s="7" t="inlineStr">
        <is>
          <t>Their audit head; a friend at a hospital group</t>
        </is>
      </c>
      <c r="Z2" s="7" t="inlineStr">
        <is>
          <t>Claims pain bigger than tender pain</t>
        </is>
      </c>
    </row>
    <row r="3">
      <c r="A3" s="2">
        <f>IF(D3="","",ROW()-2)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2">
        <f>IF(D4="","",ROW()-2)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2">
        <f>IF(D5="","",ROW()-2)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2">
        <f>IF(D6="","",ROW()-2)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2">
        <f>IF(D7="","",ROW()-2)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2">
        <f>IF(D8="","",ROW()-2)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2">
        <f>IF(D9="","",ROW()-2)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2">
        <f>IF(D10="","",ROW()-2)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2">
        <f>IF(D11="","",ROW()-2)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2">
        <f>IF(D12="","",ROW()-2)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2">
        <f>IF(D13="","",ROW()-2)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2">
        <f>IF(D14="","",ROW()-2)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2">
        <f>IF(D15="","",ROW()-2)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2">
        <f>IF(D16="","",ROW()-2)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2">
        <f>IF(D17="","",ROW()-2)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2">
        <f>IF(D18="","",ROW()-2)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2">
        <f>IF(D19="","",ROW()-2)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2">
        <f>IF(D20="","",ROW()-2)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2">
        <f>IF(D21="","",ROW()-2)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2">
        <f>IF(D22="","",ROW()-2)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2">
        <f>IF(D23="","",ROW()-2)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2">
        <f>IF(D24="","",ROW()-2)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2">
        <f>IF(D25="","",ROW()-2)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2">
        <f>IF(D26="","",ROW()-2)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2">
        <f>IF(D27="","",ROW()-2)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2">
        <f>IF(D28="","",ROW()-2)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2">
        <f>IF(D29="","",ROW()-2)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2">
        <f>IF(D30="","",ROW()-2)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2">
        <f>IF(D31="","",ROW()-2)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2">
        <f>IF(D32="","",ROW()-2)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2">
        <f>IF(D33="","",ROW()-2)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2">
        <f>IF(D34="","",ROW()-2)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2">
        <f>IF(D35="","",ROW()-2)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2">
        <f>IF(D36="","",ROW()-2)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2">
        <f>IF(D37="","",ROW()-2)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2">
        <f>IF(D38="","",ROW()-2)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2">
        <f>IF(D39="","",ROW()-2)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2">
        <f>IF(D40="","",ROW()-2)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2">
        <f>IF(D41="","",ROW()-2)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2">
        <f>IF(D42="","",ROW()-2)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2">
        <f>IF(D43="","",ROW()-2)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2">
        <f>IF(D44="","",ROW()-2)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2">
        <f>IF(D45="","",ROW()-2)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2">
        <f>IF(D46="","",ROW()-2)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2">
        <f>IF(D47="","",ROW()-2)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2">
        <f>IF(D48="","",ROW()-2)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2">
        <f>IF(D49="","",ROW()-2)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2">
        <f>IF(D50="","",ROW()-2)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2">
        <f>IF(D51="","",ROW()-2)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2">
        <f>IF(D52="","",ROW()-2)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2">
        <f>IF(D53="","",ROW()-2)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2">
        <f>IF(D54="","",ROW()-2)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2">
        <f>IF(D55="","",ROW()-2)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2">
        <f>IF(D56="","",ROW()-2)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2">
        <f>IF(D57="","",ROW()-2)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2">
        <f>IF(D58="","",ROW()-2)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2">
        <f>IF(D59="","",ROW()-2)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2">
        <f>IF(D60="","",ROW()-2)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2">
        <f>IF(D61="","",ROW()-2)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2">
        <f>IF(D62="","",ROW()-2)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2">
        <f>IF(D63="","",ROW()-2)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2">
        <f>IF(D64="","",ROW()-2)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2">
        <f>IF(D65="","",ROW()-2)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2">
        <f>IF(D66="","",ROW()-2)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2">
        <f>IF(D67="","",ROW()-2)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2">
        <f>IF(D68="","",ROW()-2)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2">
        <f>IF(D69="","",ROW()-2)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2">
        <f>IF(D70="","",ROW()-2)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2">
        <f>IF(D71="","",ROW()-2)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2">
        <f>IF(D72="","",ROW()-2)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2">
        <f>IF(D73="","",ROW()-2)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2">
        <f>IF(D74="","",ROW()-2)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2">
        <f>IF(D75="","",ROW()-2)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2">
        <f>IF(D76="","",ROW()-2)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2">
        <f>IF(D77="","",ROW()-2)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2">
        <f>IF(D78="","",ROW()-2)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2">
        <f>IF(D79="","",ROW()-2)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2">
        <f>IF(D80="","",ROW()-2)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2">
        <f>IF(D81="","",ROW()-2)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2">
        <f>IF(D82="","",ROW()-2)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2">
        <f>IF(D83="","",ROW()-2)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2">
        <f>IF(D84="","",ROW()-2)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2">
        <f>IF(D85="","",ROW()-2)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2">
        <f>IF(D86="","",ROW()-2)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2">
        <f>IF(D87="","",ROW()-2)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2">
        <f>IF(D88="","",ROW()-2)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2">
        <f>IF(D89="","",ROW()-2)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2">
        <f>IF(D90="","",ROW()-2)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2">
        <f>IF(D91="","",ROW()-2)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2">
        <f>IF(D92="","",ROW()-2)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2">
        <f>IF(D93="","",ROW()-2)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2">
        <f>IF(D94="","",ROW()-2)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2">
        <f>IF(D95="","",ROW()-2)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2">
        <f>IF(D96="","",ROW()-2)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2">
        <f>IF(D97="","",ROW()-2)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2">
        <f>IF(D98="","",ROW()-2)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2">
        <f>IF(D99="","",ROW()-2)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2">
        <f>IF(D100="","",ROW()-2)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2">
        <f>IF(D101="","",ROW()-2)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2">
        <f>IF(D102="","",ROW()-2)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2">
        <f>IF(D103="","",ROW()-2)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2">
        <f>IF(D104="","",ROW()-2)</f>
        <v/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2">
        <f>IF(D105="","",ROW()-2)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2">
        <f>IF(D106="","",ROW()-2)</f>
        <v/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2">
        <f>IF(D107="","",ROW()-2)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2">
        <f>IF(D108="","",ROW()-2)</f>
        <v/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2">
        <f>IF(D109="","",ROW()-2)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2">
        <f>IF(D110="","",ROW()-2)</f>
        <v/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2">
        <f>IF(D111="","",ROW()-2)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2">
        <f>IF(D112="","",ROW()-2)</f>
        <v/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2">
        <f>IF(D113="","",ROW()-2)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2">
        <f>IF(D114="","",ROW()-2)</f>
        <v/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2">
        <f>IF(D115="","",ROW()-2)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2">
        <f>IF(D116="","",ROW()-2)</f>
        <v/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2">
        <f>IF(D117="","",ROW()-2)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2">
        <f>IF(D118="","",ROW()-2)</f>
        <v/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2">
        <f>IF(D119="","",ROW()-2)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2">
        <f>IF(D120="","",ROW()-2)</f>
        <v/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2">
        <f>IF(D121="","",ROW()-2)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">
        <f>IF(D122="","",ROW()-2)</f>
        <v/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2">
        <f>IF(D123="","",ROW()-2)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2">
        <f>IF(D124="","",ROW()-2)</f>
        <v/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2">
        <f>IF(D125="","",ROW()-2)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2">
        <f>IF(D126="","",ROW()-2)</f>
        <v/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2">
        <f>IF(D127="","",ROW()-2)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2">
        <f>IF(D128="","",ROW()-2)</f>
        <v/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2">
        <f>IF(D129="","",ROW()-2)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2">
        <f>IF(D130="","",ROW()-2)</f>
        <v/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2">
        <f>IF(D131="","",ROW()-2)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2">
        <f>IF(D132="","",ROW()-2)</f>
        <v/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2">
        <f>IF(D133="","",ROW()-2)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2">
        <f>IF(D134="","",ROW()-2)</f>
        <v/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2">
        <f>IF(D135="","",ROW()-2)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2">
        <f>IF(D136="","",ROW()-2)</f>
        <v/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2">
        <f>IF(D137="","",ROW()-2)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2">
        <f>IF(D138="","",ROW()-2)</f>
        <v/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2">
        <f>IF(D139="","",ROW()-2)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2">
        <f>IF(D140="","",ROW()-2)</f>
        <v/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2">
        <f>IF(D141="","",ROW()-2)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2">
        <f>IF(D142="","",ROW()-2)</f>
        <v/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2">
        <f>IF(D143="","",ROW()-2)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2">
        <f>IF(D144="","",ROW()-2)</f>
        <v/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2">
        <f>IF(D145="","",ROW()-2)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2">
        <f>IF(D146="","",ROW()-2)</f>
        <v/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2">
        <f>IF(D147="","",ROW()-2)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2">
        <f>IF(D148="","",ROW()-2)</f>
        <v/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2">
        <f>IF(D149="","",ROW()-2)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2">
        <f>IF(D150="","",ROW()-2)</f>
        <v/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2">
        <f>IF(D151="","",ROW()-2)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2">
        <f>IF(D152="","",ROW()-2)</f>
        <v/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2">
        <f>IF(D153="","",ROW()-2)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2">
        <f>IF(D154="","",ROW()-2)</f>
        <v/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2">
        <f>IF(D155="","",ROW()-2)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2">
        <f>IF(D156="","",ROW()-2)</f>
        <v/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2">
        <f>IF(D157="","",ROW()-2)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2">
        <f>IF(D158="","",ROW()-2)</f>
        <v/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2">
        <f>IF(D159="","",ROW()-2)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2">
        <f>IF(D160="","",ROW()-2)</f>
        <v/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2">
        <f>IF(D161="","",ROW()-2)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2">
        <f>IF(D162="","",ROW()-2)</f>
        <v/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2">
        <f>IF(D163="","",ROW()-2)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">
        <f>IF(D164="","",ROW()-2)</f>
        <v/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2">
        <f>IF(D165="","",ROW()-2)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2">
        <f>IF(D166="","",ROW()-2)</f>
        <v/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2">
        <f>IF(D167="","",ROW()-2)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2">
        <f>IF(D168="","",ROW()-2)</f>
        <v/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2">
        <f>IF(D169="","",ROW()-2)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2">
        <f>IF(D170="","",ROW()-2)</f>
        <v/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2">
        <f>IF(D171="","",ROW()-2)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2">
        <f>IF(D172="","",ROW()-2)</f>
        <v/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2">
        <f>IF(D173="","",ROW()-2)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2">
        <f>IF(D174="","",ROW()-2)</f>
        <v/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2">
        <f>IF(D175="","",ROW()-2)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2">
        <f>IF(D176="","",ROW()-2)</f>
        <v/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2">
        <f>IF(D177="","",ROW()-2)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2">
        <f>IF(D178="","",ROW()-2)</f>
        <v/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2">
        <f>IF(D179="","",ROW()-2)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2">
        <f>IF(D180="","",ROW()-2)</f>
        <v/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2">
        <f>IF(D181="","",ROW()-2)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2">
        <f>IF(D182="","",ROW()-2)</f>
        <v/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2">
        <f>IF(D183="","",ROW()-2)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2">
        <f>IF(D184="","",ROW()-2)</f>
        <v/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2">
        <f>IF(D185="","",ROW()-2)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2">
        <f>IF(D186="","",ROW()-2)</f>
        <v/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2">
        <f>IF(D187="","",ROW()-2)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2">
        <f>IF(D188="","",ROW()-2)</f>
        <v/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2">
        <f>IF(D189="","",ROW()-2)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2">
        <f>IF(D190="","",ROW()-2)</f>
        <v/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2">
        <f>IF(D191="","",ROW()-2)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2">
        <f>IF(D192="","",ROW()-2)</f>
        <v/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2">
        <f>IF(D193="","",ROW()-2)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2">
        <f>IF(D194="","",ROW()-2)</f>
        <v/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2">
        <f>IF(D195="","",ROW()-2)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2">
        <f>IF(D196="","",ROW()-2)</f>
        <v/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2">
        <f>IF(D197="","",ROW()-2)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2">
        <f>IF(D198="","",ROW()-2)</f>
        <v/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2">
        <f>IF(D199="","",ROW()-2)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2">
        <f>IF(D200="","",ROW()-2)</f>
        <v/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2">
        <f>IF(D201="","",ROW()-2)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</sheetData>
  <dataValidations count="3">
    <dataValidation sqref="Q2:Q201 W2:W201" showDropDown="0" showInputMessage="0" showErrorMessage="0" allowBlank="1" type="list">
      <formula1>"Yes,No,Unsure"</formula1>
    </dataValidation>
    <dataValidation sqref="R2:T201" showDropDown="0" showInputMessage="0" showErrorMessage="0" allowBlank="1" type="whole" operator="between">
      <formula1>0</formula1>
      <formula2>3</formula2>
    </dataValidation>
    <dataValidation sqref="E2:E201" showDropDown="0" showInputMessage="0" showErrorMessage="0" allowBlank="1" type="list">
      <formula1>"Listed or pre-IPO,Group with internal audit,Government contractor,Disputed award,Other"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9" t="inlineStr">
        <is>
          <t>Gate 1 (W-31): build past the foundation only on PASS</t>
        </is>
      </c>
    </row>
    <row r="2">
      <c r="A2" s="10" t="inlineStr">
        <is>
          <t>Counts rows 3 onward of the Interviews sheet; row 2 is the example and is ignored.</t>
        </is>
      </c>
    </row>
    <row r="4">
      <c r="A4" s="11" t="inlineStr">
        <is>
          <t>Thresholds</t>
        </is>
      </c>
    </row>
    <row r="5">
      <c r="A5" s="2" t="inlineStr">
        <is>
          <t>Interviews needed</t>
        </is>
      </c>
      <c r="B5" s="12" t="n">
        <v>3</v>
      </c>
      <c r="C5" s="10" t="inlineStr">
        <is>
          <t>Source: W-13 in docs/09 (three interviews).</t>
        </is>
      </c>
    </row>
    <row r="6">
      <c r="A6" s="2" t="inlineStr">
        <is>
          <t>"Yes" to SAR 1,500+ a month needed</t>
        </is>
      </c>
      <c r="B6" s="12" t="n">
        <v>2</v>
      </c>
      <c r="C6" s="10" t="inlineStr">
        <is>
          <t>Source: W-31 in docs/09 (two of three would pay SAR 1,500 or more).</t>
        </is>
      </c>
    </row>
    <row r="7">
      <c r="A7" s="2" t="inlineStr">
        <is>
          <t>Named pilot tenders needed</t>
        </is>
      </c>
      <c r="B7" s="12" t="n">
        <v>1</v>
      </c>
      <c r="C7" s="10" t="inlineStr">
        <is>
          <t>Source: W-31 in docs/09 (one names a real tender).</t>
        </is>
      </c>
    </row>
    <row r="9">
      <c r="A9" s="11" t="inlineStr">
        <is>
          <t>Results</t>
        </is>
      </c>
    </row>
    <row r="10">
      <c r="A10" s="2" t="inlineStr">
        <is>
          <t>Interviews held</t>
        </is>
      </c>
      <c r="B10" s="13">
        <f>COUNTA(Interviews!D3:D201)</f>
        <v/>
      </c>
      <c r="C10" s="10" t="inlineStr"/>
    </row>
    <row r="11">
      <c r="A11" s="2" t="inlineStr">
        <is>
          <t>Would pay SAR 1,500+ a month: Yes</t>
        </is>
      </c>
      <c r="B11" s="13">
        <f>COUNTIF(Interviews!W3:W201,"Yes")</f>
        <v/>
      </c>
      <c r="C11" s="10" t="inlineStr"/>
    </row>
    <row r="12">
      <c r="A12" s="2" t="inlineStr">
        <is>
          <t>Would pay: Unsure</t>
        </is>
      </c>
      <c r="B12" s="13">
        <f>COUNTIF(Interviews!W3:W201,"Unsure")</f>
        <v/>
      </c>
      <c r="C12" s="10" t="inlineStr"/>
    </row>
    <row r="13">
      <c r="A13" s="2" t="inlineStr">
        <is>
          <t>Named pilot tenders</t>
        </is>
      </c>
      <c r="B13" s="13">
        <f>COUNTA(Interviews!X3:X201)</f>
        <v/>
      </c>
      <c r="C13" s="10" t="inlineStr"/>
    </row>
    <row r="14">
      <c r="A14" s="2" t="inlineStr">
        <is>
          <t>Brand matters to vendors: Yes</t>
        </is>
      </c>
      <c r="B14" s="13">
        <f>COUNTIF(Interviews!Q3:Q201,"Yes")</f>
        <v/>
      </c>
      <c r="C14" s="10" t="inlineStr">
        <is>
          <t>W-13 measure; supports F-02 white-label.</t>
        </is>
      </c>
    </row>
    <row r="15">
      <c r="A15" s="2" t="inlineStr">
        <is>
          <t>Median cycle time publish to PO (days)</t>
        </is>
      </c>
      <c r="B15" s="14">
        <f>IF(COUNT(Interviews!J3:J201)=0,"",MEDIAN(Interviews!J3:J201))</f>
        <v/>
      </c>
      <c r="C15" s="10" t="inlineStr">
        <is>
          <t>W-13 measure.</t>
        </is>
      </c>
    </row>
    <row r="17">
      <c r="A17" s="11" t="inlineStr">
        <is>
          <t>Side pains (docs/14): average 0 to 3</t>
        </is>
      </c>
    </row>
    <row r="18">
      <c r="A18" s="2" t="inlineStr">
        <is>
          <t>Idea 2 vendor compliance vault</t>
        </is>
      </c>
      <c r="B18" s="15">
        <f>IF(COUNT(Interviews!R3:R201)=0,"",AVERAGE(Interviews!R3:R201))</f>
        <v/>
      </c>
      <c r="C18" s="10" t="inlineStr"/>
    </row>
    <row r="19">
      <c r="A19" s="2" t="inlineStr">
        <is>
          <t>Idea 5 subcontractor claims</t>
        </is>
      </c>
      <c r="B19" s="15">
        <f>IF(COUNT(Interviews!S3:S201)=0,"",AVERAGE(Interviews!S3:S201))</f>
        <v/>
      </c>
      <c r="C19" s="10" t="inlineStr"/>
    </row>
    <row r="20">
      <c r="A20" s="2" t="inlineStr">
        <is>
          <t>Idea 7 procurement audit checks</t>
        </is>
      </c>
      <c r="B20" s="15">
        <f>IF(COUNT(Interviews!T3:T201)=0,"",AVERAGE(Interviews!T3:T201))</f>
        <v/>
      </c>
      <c r="C20" s="10" t="inlineStr"/>
    </row>
    <row r="22">
      <c r="A22" s="11" t="inlineStr">
        <is>
          <t>Verdict</t>
        </is>
      </c>
    </row>
    <row r="23" ht="48" customHeight="1">
      <c r="A23" s="3" t="inlineStr">
        <is>
          <t>Gate 1 result</t>
        </is>
      </c>
      <c r="B23" s="16">
        <f>IF(B10&lt;B5,"NOT YET",IF(B11&gt;=B6,IF(B13&gt;=B7,"PASS","NOT YET"),IF(B11+B12&gt;=B6,"NOT YET","FAIL")))</f>
        <v/>
      </c>
      <c r="C23" s="17" t="inlineStr">
        <is>
          <t>PASS: record firms, prices and the tender in docs/11 section 10 and start W-15. NOT YET: more interviews from the referrals, or follow up the unsure ones. FAIL: record why; check the side pains above before stopping.</t>
        </is>
      </c>
    </row>
  </sheetData>
  <conditionalFormatting sqref="B23">
    <cfRule type="cellIs" priority="1" operator="equal" dxfId="0">
      <formula>"PASS"</formula>
    </cfRule>
    <cfRule type="cellIs" priority="2" operator="equal" dxfId="3">
      <formula>"NOT YET"</formula>
    </cfRule>
    <cfRule type="cellIs" priority="3" operator="equal" dxfId="4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2026-09-26T21:09:18Z</dcterms:created>
  <dcterms:modified xmlns:dcterms="http://purl.org/dc/terms/" xmlns:xsi="http://www.w3.org/2001/XMLSchema-instance" xsi:type="dcterms:W3CDTF">2026-09-26T21:09:19Z</dcterms:modified>
</cp:coreProperties>
</file>