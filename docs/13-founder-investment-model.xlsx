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\ERP\docs\"/>
    </mc:Choice>
  </mc:AlternateContent>
  <xr:revisionPtr revIDLastSave="0" documentId="13_ncr:1_{F49F729D-BB6C-416D-941C-477355905470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Summary" sheetId="1" r:id="rId1"/>
    <sheet name="Assumptions" sheetId="2" r:id="rId2"/>
    <sheet name="Cashflow Lean" sheetId="3" r:id="rId3"/>
    <sheet name="Cashflow Growth" sheetId="4" r:id="rId4"/>
    <sheet name="Cashflow Str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5" i="5" l="1"/>
  <c r="K75" i="5"/>
  <c r="I75" i="5"/>
  <c r="C75" i="5"/>
  <c r="B75" i="5"/>
  <c r="M74" i="5"/>
  <c r="K74" i="5"/>
  <c r="I74" i="5"/>
  <c r="C74" i="5"/>
  <c r="B74" i="5"/>
  <c r="M73" i="5"/>
  <c r="K73" i="5"/>
  <c r="I73" i="5"/>
  <c r="C73" i="5"/>
  <c r="B73" i="5"/>
  <c r="M72" i="5"/>
  <c r="K72" i="5"/>
  <c r="I72" i="5"/>
  <c r="C72" i="5"/>
  <c r="B72" i="5"/>
  <c r="M71" i="5"/>
  <c r="K71" i="5"/>
  <c r="I71" i="5"/>
  <c r="C71" i="5"/>
  <c r="B71" i="5"/>
  <c r="M70" i="5"/>
  <c r="K70" i="5"/>
  <c r="I70" i="5"/>
  <c r="C70" i="5"/>
  <c r="B70" i="5"/>
  <c r="M69" i="5"/>
  <c r="K69" i="5"/>
  <c r="I69" i="5"/>
  <c r="C69" i="5"/>
  <c r="B69" i="5"/>
  <c r="M68" i="5"/>
  <c r="K68" i="5"/>
  <c r="I68" i="5"/>
  <c r="C68" i="5"/>
  <c r="B68" i="5"/>
  <c r="M67" i="5"/>
  <c r="K67" i="5"/>
  <c r="I67" i="5"/>
  <c r="C67" i="5"/>
  <c r="B67" i="5"/>
  <c r="M66" i="5"/>
  <c r="K66" i="5"/>
  <c r="I66" i="5"/>
  <c r="C66" i="5"/>
  <c r="B66" i="5"/>
  <c r="M65" i="5"/>
  <c r="K65" i="5"/>
  <c r="I65" i="5"/>
  <c r="C65" i="5"/>
  <c r="B65" i="5"/>
  <c r="M64" i="5"/>
  <c r="K64" i="5"/>
  <c r="I64" i="5"/>
  <c r="C64" i="5"/>
  <c r="B64" i="5"/>
  <c r="M63" i="5"/>
  <c r="K63" i="5"/>
  <c r="I63" i="5"/>
  <c r="C63" i="5"/>
  <c r="B63" i="5"/>
  <c r="M62" i="5"/>
  <c r="K62" i="5"/>
  <c r="I62" i="5"/>
  <c r="C62" i="5"/>
  <c r="B62" i="5"/>
  <c r="M61" i="5"/>
  <c r="K61" i="5"/>
  <c r="I61" i="5"/>
  <c r="C61" i="5"/>
  <c r="B61" i="5"/>
  <c r="M60" i="5"/>
  <c r="K60" i="5"/>
  <c r="I60" i="5"/>
  <c r="C60" i="5"/>
  <c r="B60" i="5"/>
  <c r="M59" i="5"/>
  <c r="K59" i="5"/>
  <c r="I59" i="5"/>
  <c r="C59" i="5"/>
  <c r="B59" i="5"/>
  <c r="M58" i="5"/>
  <c r="K58" i="5"/>
  <c r="I58" i="5"/>
  <c r="C58" i="5"/>
  <c r="B58" i="5"/>
  <c r="M57" i="5"/>
  <c r="K57" i="5"/>
  <c r="I57" i="5"/>
  <c r="C57" i="5"/>
  <c r="B57" i="5"/>
  <c r="M56" i="5"/>
  <c r="K56" i="5"/>
  <c r="I56" i="5"/>
  <c r="C56" i="5"/>
  <c r="B56" i="5"/>
  <c r="M55" i="5"/>
  <c r="K55" i="5"/>
  <c r="I55" i="5"/>
  <c r="C55" i="5"/>
  <c r="B55" i="5"/>
  <c r="M54" i="5"/>
  <c r="K54" i="5"/>
  <c r="I54" i="5"/>
  <c r="C54" i="5"/>
  <c r="B54" i="5"/>
  <c r="M53" i="5"/>
  <c r="K53" i="5"/>
  <c r="I53" i="5"/>
  <c r="C53" i="5"/>
  <c r="B53" i="5"/>
  <c r="M52" i="5"/>
  <c r="K52" i="5"/>
  <c r="I52" i="5"/>
  <c r="C52" i="5"/>
  <c r="B52" i="5"/>
  <c r="M51" i="5"/>
  <c r="K51" i="5"/>
  <c r="I51" i="5"/>
  <c r="C51" i="5"/>
  <c r="B51" i="5"/>
  <c r="M50" i="5"/>
  <c r="K50" i="5"/>
  <c r="I50" i="5"/>
  <c r="C50" i="5"/>
  <c r="B50" i="5"/>
  <c r="M49" i="5"/>
  <c r="K49" i="5"/>
  <c r="I49" i="5"/>
  <c r="C49" i="5"/>
  <c r="B49" i="5"/>
  <c r="M48" i="5"/>
  <c r="K48" i="5"/>
  <c r="I48" i="5"/>
  <c r="C48" i="5"/>
  <c r="B48" i="5"/>
  <c r="M47" i="5"/>
  <c r="K47" i="5"/>
  <c r="I47" i="5"/>
  <c r="C47" i="5"/>
  <c r="B47" i="5"/>
  <c r="M46" i="5"/>
  <c r="K46" i="5"/>
  <c r="I46" i="5"/>
  <c r="C46" i="5"/>
  <c r="B46" i="5"/>
  <c r="M45" i="5"/>
  <c r="K45" i="5"/>
  <c r="I45" i="5"/>
  <c r="C45" i="5"/>
  <c r="B45" i="5"/>
  <c r="M44" i="5"/>
  <c r="K44" i="5"/>
  <c r="I44" i="5"/>
  <c r="C44" i="5"/>
  <c r="B44" i="5"/>
  <c r="M43" i="5"/>
  <c r="K43" i="5"/>
  <c r="I43" i="5"/>
  <c r="C43" i="5"/>
  <c r="B43" i="5"/>
  <c r="M42" i="5"/>
  <c r="K42" i="5"/>
  <c r="I42" i="5"/>
  <c r="C42" i="5"/>
  <c r="B42" i="5"/>
  <c r="M41" i="5"/>
  <c r="K41" i="5"/>
  <c r="I41" i="5"/>
  <c r="C41" i="5"/>
  <c r="B41" i="5"/>
  <c r="M40" i="5"/>
  <c r="K40" i="5"/>
  <c r="I40" i="5"/>
  <c r="C40" i="5"/>
  <c r="B40" i="5"/>
  <c r="M39" i="5"/>
  <c r="K39" i="5"/>
  <c r="I39" i="5"/>
  <c r="C39" i="5"/>
  <c r="B39" i="5"/>
  <c r="M38" i="5"/>
  <c r="K38" i="5"/>
  <c r="I38" i="5"/>
  <c r="C38" i="5"/>
  <c r="B38" i="5"/>
  <c r="M37" i="5"/>
  <c r="K37" i="5"/>
  <c r="I37" i="5"/>
  <c r="C37" i="5"/>
  <c r="B37" i="5"/>
  <c r="M36" i="5"/>
  <c r="K36" i="5"/>
  <c r="I36" i="5"/>
  <c r="C36" i="5"/>
  <c r="B36" i="5"/>
  <c r="M35" i="5"/>
  <c r="K35" i="5"/>
  <c r="I35" i="5"/>
  <c r="C35" i="5"/>
  <c r="B35" i="5"/>
  <c r="M34" i="5"/>
  <c r="K34" i="5"/>
  <c r="I34" i="5"/>
  <c r="C34" i="5"/>
  <c r="B34" i="5"/>
  <c r="M33" i="5"/>
  <c r="K33" i="5"/>
  <c r="I33" i="5"/>
  <c r="C33" i="5"/>
  <c r="B33" i="5"/>
  <c r="M32" i="5"/>
  <c r="K32" i="5"/>
  <c r="I32" i="5"/>
  <c r="C32" i="5"/>
  <c r="B32" i="5"/>
  <c r="M31" i="5"/>
  <c r="K31" i="5"/>
  <c r="I31" i="5"/>
  <c r="C31" i="5"/>
  <c r="B31" i="5"/>
  <c r="M30" i="5"/>
  <c r="K30" i="5"/>
  <c r="I30" i="5"/>
  <c r="C30" i="5"/>
  <c r="B30" i="5"/>
  <c r="M29" i="5"/>
  <c r="K29" i="5"/>
  <c r="I29" i="5"/>
  <c r="C29" i="5"/>
  <c r="B29" i="5"/>
  <c r="M28" i="5"/>
  <c r="K28" i="5"/>
  <c r="I28" i="5"/>
  <c r="C28" i="5"/>
  <c r="B28" i="5"/>
  <c r="M27" i="5"/>
  <c r="K27" i="5"/>
  <c r="I27" i="5"/>
  <c r="C27" i="5"/>
  <c r="B27" i="5"/>
  <c r="M26" i="5"/>
  <c r="K26" i="5"/>
  <c r="I26" i="5"/>
  <c r="C26" i="5"/>
  <c r="B26" i="5"/>
  <c r="M25" i="5"/>
  <c r="K25" i="5"/>
  <c r="I25" i="5"/>
  <c r="C25" i="5"/>
  <c r="B25" i="5"/>
  <c r="M24" i="5"/>
  <c r="K24" i="5"/>
  <c r="I24" i="5"/>
  <c r="C24" i="5"/>
  <c r="B24" i="5"/>
  <c r="M23" i="5"/>
  <c r="K23" i="5"/>
  <c r="I23" i="5"/>
  <c r="C23" i="5"/>
  <c r="B23" i="5"/>
  <c r="M22" i="5"/>
  <c r="K22" i="5"/>
  <c r="I22" i="5"/>
  <c r="C22" i="5"/>
  <c r="B22" i="5"/>
  <c r="M21" i="5"/>
  <c r="K21" i="5"/>
  <c r="I21" i="5"/>
  <c r="C21" i="5"/>
  <c r="B21" i="5"/>
  <c r="M20" i="5"/>
  <c r="K20" i="5"/>
  <c r="I20" i="5"/>
  <c r="C20" i="5"/>
  <c r="B20" i="5"/>
  <c r="M19" i="5"/>
  <c r="K19" i="5"/>
  <c r="I19" i="5"/>
  <c r="C19" i="5"/>
  <c r="B19" i="5"/>
  <c r="M18" i="5"/>
  <c r="K18" i="5"/>
  <c r="I18" i="5"/>
  <c r="C18" i="5"/>
  <c r="B18" i="5"/>
  <c r="M17" i="5"/>
  <c r="K17" i="5"/>
  <c r="I17" i="5"/>
  <c r="C17" i="5"/>
  <c r="B17" i="5"/>
  <c r="M16" i="5"/>
  <c r="K16" i="5"/>
  <c r="I16" i="5"/>
  <c r="C16" i="5"/>
  <c r="B16" i="5"/>
  <c r="K15" i="5"/>
  <c r="I15" i="5"/>
  <c r="C15" i="5"/>
  <c r="B15" i="5"/>
  <c r="K14" i="5"/>
  <c r="I14" i="5"/>
  <c r="M14" i="5" s="1"/>
  <c r="C14" i="5"/>
  <c r="B14" i="5"/>
  <c r="K13" i="5"/>
  <c r="I13" i="5"/>
  <c r="M13" i="5" s="1"/>
  <c r="C13" i="5"/>
  <c r="B13" i="5"/>
  <c r="K12" i="5"/>
  <c r="I12" i="5"/>
  <c r="M12" i="5" s="1"/>
  <c r="C12" i="5"/>
  <c r="B12" i="5"/>
  <c r="K11" i="5"/>
  <c r="I11" i="5"/>
  <c r="M11" i="5" s="1"/>
  <c r="C11" i="5"/>
  <c r="B11" i="5"/>
  <c r="K10" i="5"/>
  <c r="I10" i="5"/>
  <c r="M10" i="5" s="1"/>
  <c r="C10" i="5"/>
  <c r="B10" i="5"/>
  <c r="K9" i="5"/>
  <c r="I9" i="5"/>
  <c r="M9" i="5" s="1"/>
  <c r="C9" i="5"/>
  <c r="B9" i="5"/>
  <c r="K8" i="5"/>
  <c r="I8" i="5"/>
  <c r="C8" i="5"/>
  <c r="B8" i="5"/>
  <c r="K7" i="5"/>
  <c r="I7" i="5"/>
  <c r="M7" i="5" s="1"/>
  <c r="C7" i="5"/>
  <c r="B7" i="5"/>
  <c r="K6" i="5"/>
  <c r="I6" i="5"/>
  <c r="C6" i="5"/>
  <c r="B6" i="5"/>
  <c r="K5" i="5"/>
  <c r="I5" i="5"/>
  <c r="M5" i="5" s="1"/>
  <c r="C5" i="5"/>
  <c r="B5" i="5"/>
  <c r="K4" i="5"/>
  <c r="I4" i="5"/>
  <c r="M4" i="5" s="1"/>
  <c r="C4" i="5"/>
  <c r="B4" i="5"/>
  <c r="M75" i="4"/>
  <c r="K75" i="4"/>
  <c r="I75" i="4"/>
  <c r="C75" i="4"/>
  <c r="B75" i="4"/>
  <c r="M74" i="4"/>
  <c r="K74" i="4"/>
  <c r="I74" i="4"/>
  <c r="C74" i="4"/>
  <c r="B74" i="4"/>
  <c r="M73" i="4"/>
  <c r="K73" i="4"/>
  <c r="I73" i="4"/>
  <c r="C73" i="4"/>
  <c r="B73" i="4"/>
  <c r="M72" i="4"/>
  <c r="K72" i="4"/>
  <c r="I72" i="4"/>
  <c r="C72" i="4"/>
  <c r="B72" i="4"/>
  <c r="M71" i="4"/>
  <c r="K71" i="4"/>
  <c r="I71" i="4"/>
  <c r="C71" i="4"/>
  <c r="B71" i="4"/>
  <c r="M70" i="4"/>
  <c r="K70" i="4"/>
  <c r="I70" i="4"/>
  <c r="C70" i="4"/>
  <c r="B70" i="4"/>
  <c r="M69" i="4"/>
  <c r="K69" i="4"/>
  <c r="I69" i="4"/>
  <c r="C69" i="4"/>
  <c r="B69" i="4"/>
  <c r="M68" i="4"/>
  <c r="K68" i="4"/>
  <c r="I68" i="4"/>
  <c r="C68" i="4"/>
  <c r="B68" i="4"/>
  <c r="M67" i="4"/>
  <c r="K67" i="4"/>
  <c r="I67" i="4"/>
  <c r="C67" i="4"/>
  <c r="B67" i="4"/>
  <c r="M66" i="4"/>
  <c r="K66" i="4"/>
  <c r="I66" i="4"/>
  <c r="C66" i="4"/>
  <c r="B66" i="4"/>
  <c r="M65" i="4"/>
  <c r="K65" i="4"/>
  <c r="I65" i="4"/>
  <c r="C65" i="4"/>
  <c r="B65" i="4"/>
  <c r="M64" i="4"/>
  <c r="K64" i="4"/>
  <c r="I64" i="4"/>
  <c r="C64" i="4"/>
  <c r="B64" i="4"/>
  <c r="M63" i="4"/>
  <c r="K63" i="4"/>
  <c r="I63" i="4"/>
  <c r="C63" i="4"/>
  <c r="B63" i="4"/>
  <c r="M62" i="4"/>
  <c r="K62" i="4"/>
  <c r="I62" i="4"/>
  <c r="C62" i="4"/>
  <c r="B62" i="4"/>
  <c r="M61" i="4"/>
  <c r="K61" i="4"/>
  <c r="I61" i="4"/>
  <c r="C61" i="4"/>
  <c r="B61" i="4"/>
  <c r="M60" i="4"/>
  <c r="K60" i="4"/>
  <c r="I60" i="4"/>
  <c r="C60" i="4"/>
  <c r="B60" i="4"/>
  <c r="M59" i="4"/>
  <c r="K59" i="4"/>
  <c r="I59" i="4"/>
  <c r="C59" i="4"/>
  <c r="B59" i="4"/>
  <c r="M58" i="4"/>
  <c r="K58" i="4"/>
  <c r="I58" i="4"/>
  <c r="C58" i="4"/>
  <c r="B58" i="4"/>
  <c r="M57" i="4"/>
  <c r="K57" i="4"/>
  <c r="I57" i="4"/>
  <c r="C57" i="4"/>
  <c r="B57" i="4"/>
  <c r="M56" i="4"/>
  <c r="K56" i="4"/>
  <c r="I56" i="4"/>
  <c r="C56" i="4"/>
  <c r="B56" i="4"/>
  <c r="M55" i="4"/>
  <c r="K55" i="4"/>
  <c r="I55" i="4"/>
  <c r="C55" i="4"/>
  <c r="B55" i="4"/>
  <c r="M54" i="4"/>
  <c r="K54" i="4"/>
  <c r="I54" i="4"/>
  <c r="C54" i="4"/>
  <c r="B54" i="4"/>
  <c r="M53" i="4"/>
  <c r="K53" i="4"/>
  <c r="I53" i="4"/>
  <c r="C53" i="4"/>
  <c r="B53" i="4"/>
  <c r="M52" i="4"/>
  <c r="K52" i="4"/>
  <c r="I52" i="4"/>
  <c r="C52" i="4"/>
  <c r="B52" i="4"/>
  <c r="M51" i="4"/>
  <c r="K51" i="4"/>
  <c r="I51" i="4"/>
  <c r="C51" i="4"/>
  <c r="B51" i="4"/>
  <c r="M50" i="4"/>
  <c r="K50" i="4"/>
  <c r="I50" i="4"/>
  <c r="C50" i="4"/>
  <c r="B50" i="4"/>
  <c r="M49" i="4"/>
  <c r="K49" i="4"/>
  <c r="I49" i="4"/>
  <c r="C49" i="4"/>
  <c r="B49" i="4"/>
  <c r="M48" i="4"/>
  <c r="K48" i="4"/>
  <c r="I48" i="4"/>
  <c r="C48" i="4"/>
  <c r="B48" i="4"/>
  <c r="M47" i="4"/>
  <c r="K47" i="4"/>
  <c r="I47" i="4"/>
  <c r="C47" i="4"/>
  <c r="B47" i="4"/>
  <c r="M46" i="4"/>
  <c r="K46" i="4"/>
  <c r="I46" i="4"/>
  <c r="C46" i="4"/>
  <c r="B46" i="4"/>
  <c r="M45" i="4"/>
  <c r="K45" i="4"/>
  <c r="I45" i="4"/>
  <c r="C45" i="4"/>
  <c r="B45" i="4"/>
  <c r="M44" i="4"/>
  <c r="K44" i="4"/>
  <c r="I44" i="4"/>
  <c r="C44" i="4"/>
  <c r="B44" i="4"/>
  <c r="M43" i="4"/>
  <c r="K43" i="4"/>
  <c r="I43" i="4"/>
  <c r="C43" i="4"/>
  <c r="B43" i="4"/>
  <c r="M42" i="4"/>
  <c r="K42" i="4"/>
  <c r="I42" i="4"/>
  <c r="C42" i="4"/>
  <c r="B42" i="4"/>
  <c r="M41" i="4"/>
  <c r="K41" i="4"/>
  <c r="I41" i="4"/>
  <c r="C41" i="4"/>
  <c r="B41" i="4"/>
  <c r="M40" i="4"/>
  <c r="K40" i="4"/>
  <c r="I40" i="4"/>
  <c r="C40" i="4"/>
  <c r="B40" i="4"/>
  <c r="M39" i="4"/>
  <c r="K39" i="4"/>
  <c r="I39" i="4"/>
  <c r="C39" i="4"/>
  <c r="B39" i="4"/>
  <c r="M38" i="4"/>
  <c r="K38" i="4"/>
  <c r="I38" i="4"/>
  <c r="C38" i="4"/>
  <c r="B38" i="4"/>
  <c r="M37" i="4"/>
  <c r="K37" i="4"/>
  <c r="I37" i="4"/>
  <c r="C37" i="4"/>
  <c r="B37" i="4"/>
  <c r="M36" i="4"/>
  <c r="K36" i="4"/>
  <c r="I36" i="4"/>
  <c r="C36" i="4"/>
  <c r="B36" i="4"/>
  <c r="M35" i="4"/>
  <c r="K35" i="4"/>
  <c r="I35" i="4"/>
  <c r="C35" i="4"/>
  <c r="B35" i="4"/>
  <c r="M34" i="4"/>
  <c r="K34" i="4"/>
  <c r="I34" i="4"/>
  <c r="C34" i="4"/>
  <c r="B34" i="4"/>
  <c r="M33" i="4"/>
  <c r="K33" i="4"/>
  <c r="I33" i="4"/>
  <c r="C33" i="4"/>
  <c r="B33" i="4"/>
  <c r="M32" i="4"/>
  <c r="K32" i="4"/>
  <c r="I32" i="4"/>
  <c r="C32" i="4"/>
  <c r="B32" i="4"/>
  <c r="M31" i="4"/>
  <c r="K31" i="4"/>
  <c r="I31" i="4"/>
  <c r="C31" i="4"/>
  <c r="B31" i="4"/>
  <c r="M30" i="4"/>
  <c r="K30" i="4"/>
  <c r="I30" i="4"/>
  <c r="C30" i="4"/>
  <c r="B30" i="4"/>
  <c r="M29" i="4"/>
  <c r="K29" i="4"/>
  <c r="I29" i="4"/>
  <c r="C29" i="4"/>
  <c r="B29" i="4"/>
  <c r="M28" i="4"/>
  <c r="K28" i="4"/>
  <c r="I28" i="4"/>
  <c r="C28" i="4"/>
  <c r="B28" i="4"/>
  <c r="M27" i="4"/>
  <c r="K27" i="4"/>
  <c r="I27" i="4"/>
  <c r="C27" i="4"/>
  <c r="B27" i="4"/>
  <c r="M26" i="4"/>
  <c r="K26" i="4"/>
  <c r="I26" i="4"/>
  <c r="C26" i="4"/>
  <c r="B26" i="4"/>
  <c r="M25" i="4"/>
  <c r="K25" i="4"/>
  <c r="I25" i="4"/>
  <c r="C25" i="4"/>
  <c r="B25" i="4"/>
  <c r="M24" i="4"/>
  <c r="K24" i="4"/>
  <c r="I24" i="4"/>
  <c r="C24" i="4"/>
  <c r="B24" i="4"/>
  <c r="M23" i="4"/>
  <c r="K23" i="4"/>
  <c r="I23" i="4"/>
  <c r="C23" i="4"/>
  <c r="B23" i="4"/>
  <c r="M22" i="4"/>
  <c r="K22" i="4"/>
  <c r="I22" i="4"/>
  <c r="C22" i="4"/>
  <c r="B22" i="4"/>
  <c r="M21" i="4"/>
  <c r="K21" i="4"/>
  <c r="I21" i="4"/>
  <c r="C21" i="4"/>
  <c r="B21" i="4"/>
  <c r="M20" i="4"/>
  <c r="K20" i="4"/>
  <c r="I20" i="4"/>
  <c r="C20" i="4"/>
  <c r="B20" i="4"/>
  <c r="M19" i="4"/>
  <c r="K19" i="4"/>
  <c r="I19" i="4"/>
  <c r="C19" i="4"/>
  <c r="B19" i="4"/>
  <c r="M18" i="4"/>
  <c r="K18" i="4"/>
  <c r="I18" i="4"/>
  <c r="C18" i="4"/>
  <c r="B18" i="4"/>
  <c r="M17" i="4"/>
  <c r="K17" i="4"/>
  <c r="I17" i="4"/>
  <c r="C17" i="4"/>
  <c r="B17" i="4"/>
  <c r="M16" i="4"/>
  <c r="K16" i="4"/>
  <c r="I16" i="4"/>
  <c r="C16" i="4"/>
  <c r="B16" i="4"/>
  <c r="K15" i="4"/>
  <c r="I15" i="4"/>
  <c r="M15" i="4" s="1"/>
  <c r="C15" i="4"/>
  <c r="B15" i="4"/>
  <c r="K14" i="4"/>
  <c r="I14" i="4"/>
  <c r="M14" i="4" s="1"/>
  <c r="C14" i="4"/>
  <c r="B14" i="4"/>
  <c r="K13" i="4"/>
  <c r="I13" i="4"/>
  <c r="M13" i="4" s="1"/>
  <c r="C13" i="4"/>
  <c r="B13" i="4"/>
  <c r="K12" i="4"/>
  <c r="I12" i="4"/>
  <c r="M12" i="4" s="1"/>
  <c r="C12" i="4"/>
  <c r="B12" i="4"/>
  <c r="K11" i="4"/>
  <c r="I11" i="4"/>
  <c r="M11" i="4" s="1"/>
  <c r="C11" i="4"/>
  <c r="B11" i="4"/>
  <c r="K10" i="4"/>
  <c r="I10" i="4"/>
  <c r="M10" i="4" s="1"/>
  <c r="C10" i="4"/>
  <c r="B10" i="4"/>
  <c r="K9" i="4"/>
  <c r="I9" i="4"/>
  <c r="M9" i="4" s="1"/>
  <c r="C9" i="4"/>
  <c r="B9" i="4"/>
  <c r="K8" i="4"/>
  <c r="I8" i="4"/>
  <c r="M8" i="4" s="1"/>
  <c r="C8" i="4"/>
  <c r="B8" i="4"/>
  <c r="K7" i="4"/>
  <c r="I7" i="4"/>
  <c r="M7" i="4" s="1"/>
  <c r="C7" i="4"/>
  <c r="B7" i="4"/>
  <c r="K6" i="4"/>
  <c r="I6" i="4"/>
  <c r="M6" i="4" s="1"/>
  <c r="C6" i="4"/>
  <c r="B6" i="4"/>
  <c r="K5" i="4"/>
  <c r="I5" i="4"/>
  <c r="M5" i="4" s="1"/>
  <c r="C5" i="4"/>
  <c r="B5" i="4"/>
  <c r="K4" i="4"/>
  <c r="I4" i="4"/>
  <c r="M4" i="4" s="1"/>
  <c r="C4" i="4"/>
  <c r="B4" i="4"/>
  <c r="M75" i="3"/>
  <c r="K75" i="3"/>
  <c r="I75" i="3"/>
  <c r="C75" i="3"/>
  <c r="B75" i="3"/>
  <c r="M74" i="3"/>
  <c r="K74" i="3"/>
  <c r="I74" i="3"/>
  <c r="C74" i="3"/>
  <c r="B74" i="3"/>
  <c r="M73" i="3"/>
  <c r="K73" i="3"/>
  <c r="I73" i="3"/>
  <c r="C73" i="3"/>
  <c r="B73" i="3"/>
  <c r="M72" i="3"/>
  <c r="K72" i="3"/>
  <c r="I72" i="3"/>
  <c r="C72" i="3"/>
  <c r="B72" i="3"/>
  <c r="M71" i="3"/>
  <c r="K71" i="3"/>
  <c r="I71" i="3"/>
  <c r="C71" i="3"/>
  <c r="B71" i="3"/>
  <c r="M70" i="3"/>
  <c r="K70" i="3"/>
  <c r="I70" i="3"/>
  <c r="C70" i="3"/>
  <c r="B70" i="3"/>
  <c r="M69" i="3"/>
  <c r="K69" i="3"/>
  <c r="I69" i="3"/>
  <c r="C69" i="3"/>
  <c r="B69" i="3"/>
  <c r="M68" i="3"/>
  <c r="K68" i="3"/>
  <c r="I68" i="3"/>
  <c r="C68" i="3"/>
  <c r="B68" i="3"/>
  <c r="M67" i="3"/>
  <c r="K67" i="3"/>
  <c r="I67" i="3"/>
  <c r="C67" i="3"/>
  <c r="B67" i="3"/>
  <c r="M66" i="3"/>
  <c r="K66" i="3"/>
  <c r="I66" i="3"/>
  <c r="C66" i="3"/>
  <c r="B66" i="3"/>
  <c r="M65" i="3"/>
  <c r="K65" i="3"/>
  <c r="I65" i="3"/>
  <c r="C65" i="3"/>
  <c r="B65" i="3"/>
  <c r="M64" i="3"/>
  <c r="K64" i="3"/>
  <c r="I64" i="3"/>
  <c r="C64" i="3"/>
  <c r="B64" i="3"/>
  <c r="M63" i="3"/>
  <c r="K63" i="3"/>
  <c r="I63" i="3"/>
  <c r="C63" i="3"/>
  <c r="B63" i="3"/>
  <c r="M62" i="3"/>
  <c r="K62" i="3"/>
  <c r="I62" i="3"/>
  <c r="C62" i="3"/>
  <c r="B62" i="3"/>
  <c r="M61" i="3"/>
  <c r="K61" i="3"/>
  <c r="I61" i="3"/>
  <c r="C61" i="3"/>
  <c r="B61" i="3"/>
  <c r="M60" i="3"/>
  <c r="K60" i="3"/>
  <c r="I60" i="3"/>
  <c r="C60" i="3"/>
  <c r="B60" i="3"/>
  <c r="M59" i="3"/>
  <c r="K59" i="3"/>
  <c r="I59" i="3"/>
  <c r="C59" i="3"/>
  <c r="B59" i="3"/>
  <c r="M58" i="3"/>
  <c r="K58" i="3"/>
  <c r="I58" i="3"/>
  <c r="C58" i="3"/>
  <c r="B58" i="3"/>
  <c r="M57" i="3"/>
  <c r="K57" i="3"/>
  <c r="I57" i="3"/>
  <c r="C57" i="3"/>
  <c r="B57" i="3"/>
  <c r="M56" i="3"/>
  <c r="K56" i="3"/>
  <c r="I56" i="3"/>
  <c r="D56" i="3"/>
  <c r="C56" i="3"/>
  <c r="J56" i="3" s="1"/>
  <c r="B56" i="3"/>
  <c r="M55" i="3"/>
  <c r="K55" i="3"/>
  <c r="I55" i="3"/>
  <c r="C55" i="3"/>
  <c r="B55" i="3"/>
  <c r="M54" i="3"/>
  <c r="K54" i="3"/>
  <c r="I54" i="3"/>
  <c r="C54" i="3"/>
  <c r="B54" i="3"/>
  <c r="M53" i="3"/>
  <c r="K53" i="3"/>
  <c r="I53" i="3"/>
  <c r="C53" i="3"/>
  <c r="B53" i="3"/>
  <c r="M52" i="3"/>
  <c r="K52" i="3"/>
  <c r="I52" i="3"/>
  <c r="C52" i="3"/>
  <c r="B52" i="3"/>
  <c r="M51" i="3"/>
  <c r="K51" i="3"/>
  <c r="I51" i="3"/>
  <c r="C51" i="3"/>
  <c r="B51" i="3"/>
  <c r="M50" i="3"/>
  <c r="K50" i="3"/>
  <c r="I50" i="3"/>
  <c r="C50" i="3"/>
  <c r="B50" i="3"/>
  <c r="M49" i="3"/>
  <c r="K49" i="3"/>
  <c r="I49" i="3"/>
  <c r="C49" i="3"/>
  <c r="B49" i="3"/>
  <c r="M48" i="3"/>
  <c r="K48" i="3"/>
  <c r="I48" i="3"/>
  <c r="C48" i="3"/>
  <c r="B48" i="3"/>
  <c r="M47" i="3"/>
  <c r="K47" i="3"/>
  <c r="I47" i="3"/>
  <c r="C47" i="3"/>
  <c r="B47" i="3"/>
  <c r="M46" i="3"/>
  <c r="K46" i="3"/>
  <c r="I46" i="3"/>
  <c r="C46" i="3"/>
  <c r="B46" i="3"/>
  <c r="M45" i="3"/>
  <c r="K45" i="3"/>
  <c r="I45" i="3"/>
  <c r="C45" i="3"/>
  <c r="B45" i="3"/>
  <c r="M44" i="3"/>
  <c r="K44" i="3"/>
  <c r="I44" i="3"/>
  <c r="C44" i="3"/>
  <c r="B44" i="3"/>
  <c r="M43" i="3"/>
  <c r="K43" i="3"/>
  <c r="I43" i="3"/>
  <c r="C43" i="3"/>
  <c r="B43" i="3"/>
  <c r="M42" i="3"/>
  <c r="K42" i="3"/>
  <c r="I42" i="3"/>
  <c r="C42" i="3"/>
  <c r="B42" i="3"/>
  <c r="M41" i="3"/>
  <c r="K41" i="3"/>
  <c r="I41" i="3"/>
  <c r="C41" i="3"/>
  <c r="B41" i="3"/>
  <c r="M40" i="3"/>
  <c r="K40" i="3"/>
  <c r="I40" i="3"/>
  <c r="C40" i="3"/>
  <c r="B40" i="3"/>
  <c r="M39" i="3"/>
  <c r="K39" i="3"/>
  <c r="I39" i="3"/>
  <c r="C39" i="3"/>
  <c r="B39" i="3"/>
  <c r="M38" i="3"/>
  <c r="K38" i="3"/>
  <c r="I38" i="3"/>
  <c r="C38" i="3"/>
  <c r="B38" i="3"/>
  <c r="M37" i="3"/>
  <c r="K37" i="3"/>
  <c r="I37" i="3"/>
  <c r="C37" i="3"/>
  <c r="B37" i="3"/>
  <c r="M36" i="3"/>
  <c r="K36" i="3"/>
  <c r="I36" i="3"/>
  <c r="C36" i="3"/>
  <c r="B36" i="3"/>
  <c r="M35" i="3"/>
  <c r="K35" i="3"/>
  <c r="I35" i="3"/>
  <c r="C35" i="3"/>
  <c r="B35" i="3"/>
  <c r="M34" i="3"/>
  <c r="K34" i="3"/>
  <c r="I34" i="3"/>
  <c r="C34" i="3"/>
  <c r="B34" i="3"/>
  <c r="M33" i="3"/>
  <c r="K33" i="3"/>
  <c r="I33" i="3"/>
  <c r="C33" i="3"/>
  <c r="B33" i="3"/>
  <c r="M32" i="3"/>
  <c r="K32" i="3"/>
  <c r="I32" i="3"/>
  <c r="C32" i="3"/>
  <c r="B32" i="3"/>
  <c r="M31" i="3"/>
  <c r="K31" i="3"/>
  <c r="I31" i="3"/>
  <c r="C31" i="3"/>
  <c r="B31" i="3"/>
  <c r="M30" i="3"/>
  <c r="K30" i="3"/>
  <c r="I30" i="3"/>
  <c r="C30" i="3"/>
  <c r="B30" i="3"/>
  <c r="M29" i="3"/>
  <c r="K29" i="3"/>
  <c r="I29" i="3"/>
  <c r="C29" i="3"/>
  <c r="B29" i="3"/>
  <c r="M28" i="3"/>
  <c r="K28" i="3"/>
  <c r="I28" i="3"/>
  <c r="C28" i="3"/>
  <c r="B28" i="3"/>
  <c r="M27" i="3"/>
  <c r="K27" i="3"/>
  <c r="I27" i="3"/>
  <c r="C27" i="3"/>
  <c r="B27" i="3"/>
  <c r="M26" i="3"/>
  <c r="K26" i="3"/>
  <c r="I26" i="3"/>
  <c r="C26" i="3"/>
  <c r="B26" i="3"/>
  <c r="M25" i="3"/>
  <c r="K25" i="3"/>
  <c r="I25" i="3"/>
  <c r="C25" i="3"/>
  <c r="B25" i="3"/>
  <c r="M24" i="3"/>
  <c r="K24" i="3"/>
  <c r="I24" i="3"/>
  <c r="C24" i="3"/>
  <c r="B24" i="3"/>
  <c r="M23" i="3"/>
  <c r="K23" i="3"/>
  <c r="I23" i="3"/>
  <c r="C23" i="3"/>
  <c r="B23" i="3"/>
  <c r="M22" i="3"/>
  <c r="K22" i="3"/>
  <c r="I22" i="3"/>
  <c r="C22" i="3"/>
  <c r="B22" i="3"/>
  <c r="M21" i="3"/>
  <c r="K21" i="3"/>
  <c r="I21" i="3"/>
  <c r="C21" i="3"/>
  <c r="B21" i="3"/>
  <c r="M20" i="3"/>
  <c r="K20" i="3"/>
  <c r="I20" i="3"/>
  <c r="C20" i="3"/>
  <c r="B20" i="3"/>
  <c r="M19" i="3"/>
  <c r="K19" i="3"/>
  <c r="I19" i="3"/>
  <c r="C19" i="3"/>
  <c r="B19" i="3"/>
  <c r="M18" i="3"/>
  <c r="K18" i="3"/>
  <c r="I18" i="3"/>
  <c r="C18" i="3"/>
  <c r="B18" i="3"/>
  <c r="M17" i="3"/>
  <c r="K17" i="3"/>
  <c r="I17" i="3"/>
  <c r="C17" i="3"/>
  <c r="B17" i="3"/>
  <c r="M16" i="3"/>
  <c r="K16" i="3"/>
  <c r="I16" i="3"/>
  <c r="C16" i="3"/>
  <c r="B16" i="3"/>
  <c r="K15" i="3"/>
  <c r="I15" i="3"/>
  <c r="M15" i="3" s="1"/>
  <c r="C15" i="3"/>
  <c r="B15" i="3"/>
  <c r="K14" i="3"/>
  <c r="I14" i="3"/>
  <c r="M14" i="3" s="1"/>
  <c r="C14" i="3"/>
  <c r="B14" i="3"/>
  <c r="K13" i="3"/>
  <c r="I13" i="3"/>
  <c r="M13" i="3" s="1"/>
  <c r="C13" i="3"/>
  <c r="B13" i="3"/>
  <c r="K12" i="3"/>
  <c r="I12" i="3"/>
  <c r="M12" i="3" s="1"/>
  <c r="C12" i="3"/>
  <c r="B12" i="3"/>
  <c r="K11" i="3"/>
  <c r="I11" i="3"/>
  <c r="M11" i="3" s="1"/>
  <c r="C11" i="3"/>
  <c r="B11" i="3"/>
  <c r="K10" i="3"/>
  <c r="I10" i="3"/>
  <c r="M10" i="3" s="1"/>
  <c r="C10" i="3"/>
  <c r="B10" i="3"/>
  <c r="K9" i="3"/>
  <c r="I9" i="3"/>
  <c r="M9" i="3" s="1"/>
  <c r="C9" i="3"/>
  <c r="B9" i="3"/>
  <c r="K8" i="3"/>
  <c r="I8" i="3"/>
  <c r="M8" i="3" s="1"/>
  <c r="C8" i="3"/>
  <c r="B8" i="3"/>
  <c r="K7" i="3"/>
  <c r="I7" i="3"/>
  <c r="M7" i="3" s="1"/>
  <c r="C7" i="3"/>
  <c r="B7" i="3"/>
  <c r="K6" i="3"/>
  <c r="I6" i="3"/>
  <c r="M6" i="3" s="1"/>
  <c r="C6" i="3"/>
  <c r="B6" i="3"/>
  <c r="K5" i="3"/>
  <c r="I5" i="3"/>
  <c r="M5" i="3" s="1"/>
  <c r="C5" i="3"/>
  <c r="B5" i="3"/>
  <c r="K4" i="3"/>
  <c r="I4" i="3"/>
  <c r="M4" i="3" s="1"/>
  <c r="C4" i="3"/>
  <c r="B4" i="3"/>
  <c r="F54" i="2"/>
  <c r="F53" i="2"/>
  <c r="F52" i="2"/>
  <c r="F51" i="2"/>
  <c r="F50" i="2"/>
  <c r="F49" i="2"/>
  <c r="F48" i="2"/>
  <c r="B29" i="1"/>
  <c r="B30" i="1" s="1"/>
  <c r="B31" i="1" s="1"/>
  <c r="M8" i="5" l="1"/>
  <c r="M15" i="5"/>
  <c r="M6" i="5"/>
  <c r="D15" i="5"/>
  <c r="J15" i="5"/>
  <c r="D5" i="5"/>
  <c r="J5" i="5"/>
  <c r="D67" i="4"/>
  <c r="J67" i="4"/>
  <c r="D57" i="4"/>
  <c r="J57" i="4"/>
  <c r="D47" i="4"/>
  <c r="J47" i="4"/>
  <c r="J8" i="4"/>
  <c r="D8" i="4"/>
  <c r="J49" i="3"/>
  <c r="D49" i="3"/>
  <c r="D38" i="3"/>
  <c r="J38" i="3"/>
  <c r="D28" i="3"/>
  <c r="J28" i="3"/>
  <c r="D18" i="3"/>
  <c r="J18" i="3"/>
  <c r="D8" i="3"/>
  <c r="J8" i="3"/>
  <c r="L67" i="5"/>
  <c r="L66" i="5"/>
  <c r="L7" i="5"/>
  <c r="L75" i="4"/>
  <c r="L73" i="4"/>
  <c r="L71" i="4"/>
  <c r="L67" i="4"/>
  <c r="L18" i="4"/>
  <c r="L62" i="3"/>
  <c r="L57" i="3"/>
  <c r="L52" i="3"/>
  <c r="L40" i="3"/>
  <c r="L64" i="5"/>
  <c r="L63" i="5"/>
  <c r="L62" i="5"/>
  <c r="L61" i="5"/>
  <c r="L60" i="5"/>
  <c r="L59" i="5"/>
  <c r="L58" i="5"/>
  <c r="L57" i="5"/>
  <c r="L56" i="5"/>
  <c r="L38" i="5"/>
  <c r="L36" i="5"/>
  <c r="L74" i="4"/>
  <c r="L32" i="4"/>
  <c r="L49" i="5"/>
  <c r="L48" i="5"/>
  <c r="L47" i="5"/>
  <c r="L46" i="5"/>
  <c r="L40" i="5"/>
  <c r="L39" i="5"/>
  <c r="L72" i="4"/>
  <c r="L57" i="4"/>
  <c r="L51" i="4"/>
  <c r="L29" i="4"/>
  <c r="L22" i="4"/>
  <c r="L43" i="5"/>
  <c r="L42" i="5"/>
  <c r="L41" i="5"/>
  <c r="L37" i="5"/>
  <c r="L70" i="4"/>
  <c r="L68" i="4"/>
  <c r="L53" i="4"/>
  <c r="L19" i="4"/>
  <c r="L35" i="5"/>
  <c r="L33" i="5"/>
  <c r="L32" i="5"/>
  <c r="L31" i="5"/>
  <c r="L30" i="5"/>
  <c r="L29" i="5"/>
  <c r="L27" i="5"/>
  <c r="L26" i="5"/>
  <c r="L18" i="5"/>
  <c r="L17" i="5"/>
  <c r="L16" i="5"/>
  <c r="L10" i="5"/>
  <c r="L69" i="4"/>
  <c r="L50" i="4"/>
  <c r="L21" i="4"/>
  <c r="L69" i="3"/>
  <c r="L25" i="5"/>
  <c r="L21" i="5"/>
  <c r="L20" i="5"/>
  <c r="L19" i="5"/>
  <c r="L15" i="5"/>
  <c r="L8" i="5"/>
  <c r="L6" i="5"/>
  <c r="L28" i="5"/>
  <c r="L31" i="4"/>
  <c r="L28" i="4"/>
  <c r="L61" i="3"/>
  <c r="L59" i="3"/>
  <c r="L9" i="5"/>
  <c r="L49" i="4"/>
  <c r="L20" i="4"/>
  <c r="L38" i="3"/>
  <c r="L33" i="3"/>
  <c r="L24" i="3"/>
  <c r="L13" i="3"/>
  <c r="L5" i="5"/>
  <c r="L58" i="4"/>
  <c r="L64" i="3"/>
  <c r="L60" i="3"/>
  <c r="L55" i="3"/>
  <c r="L50" i="3"/>
  <c r="L43" i="3"/>
  <c r="L39" i="3"/>
  <c r="L36" i="3"/>
  <c r="L32" i="3"/>
  <c r="L30" i="4"/>
  <c r="L52" i="4"/>
  <c r="L63" i="3"/>
  <c r="L56" i="3"/>
  <c r="L49" i="3"/>
  <c r="L41" i="3"/>
  <c r="L22" i="3"/>
  <c r="L48" i="4"/>
  <c r="L47" i="4"/>
  <c r="L74" i="5"/>
  <c r="L38" i="4"/>
  <c r="L37" i="4"/>
  <c r="L27" i="4"/>
  <c r="L23" i="4"/>
  <c r="L73" i="5"/>
  <c r="L31" i="3"/>
  <c r="L21" i="3"/>
  <c r="L72" i="5"/>
  <c r="L34" i="3"/>
  <c r="L12" i="3"/>
  <c r="L17" i="4"/>
  <c r="L15" i="4"/>
  <c r="L14" i="4"/>
  <c r="L13" i="4"/>
  <c r="L12" i="4"/>
  <c r="L11" i="4"/>
  <c r="L10" i="4"/>
  <c r="L9" i="4"/>
  <c r="L8" i="4"/>
  <c r="L71" i="5"/>
  <c r="L7" i="4"/>
  <c r="L54" i="3"/>
  <c r="L51" i="3"/>
  <c r="L48" i="3"/>
  <c r="L23" i="3"/>
  <c r="L53" i="3"/>
  <c r="L58" i="3"/>
  <c r="L42" i="3"/>
  <c r="L70" i="5"/>
  <c r="L35" i="3"/>
  <c r="L30" i="3"/>
  <c r="L29" i="3"/>
  <c r="L28" i="3"/>
  <c r="L69" i="5"/>
  <c r="L20" i="3"/>
  <c r="L19" i="3"/>
  <c r="L18" i="3"/>
  <c r="L68" i="5"/>
  <c r="L16" i="3"/>
  <c r="L15" i="3"/>
  <c r="L14" i="3"/>
  <c r="L11" i="3"/>
  <c r="L10" i="3"/>
  <c r="L9" i="3"/>
  <c r="L8" i="3"/>
  <c r="L44" i="3"/>
  <c r="J75" i="5"/>
  <c r="D75" i="5"/>
  <c r="J74" i="5"/>
  <c r="D74" i="5"/>
  <c r="J73" i="5"/>
  <c r="D73" i="5"/>
  <c r="J72" i="5"/>
  <c r="D72" i="5"/>
  <c r="D71" i="5"/>
  <c r="J71" i="5"/>
  <c r="D70" i="5"/>
  <c r="J70" i="5"/>
  <c r="J69" i="5"/>
  <c r="D69" i="5"/>
  <c r="J68" i="5"/>
  <c r="D68" i="5"/>
  <c r="J67" i="5"/>
  <c r="D67" i="5"/>
  <c r="J66" i="5"/>
  <c r="D66" i="5"/>
  <c r="D65" i="5"/>
  <c r="J65" i="5"/>
  <c r="J64" i="5"/>
  <c r="D64" i="5"/>
  <c r="D63" i="5"/>
  <c r="J63" i="5"/>
  <c r="J62" i="5"/>
  <c r="D62" i="5"/>
  <c r="J61" i="5"/>
  <c r="D61" i="5"/>
  <c r="D60" i="5"/>
  <c r="J60" i="5"/>
  <c r="J59" i="5"/>
  <c r="D59" i="5"/>
  <c r="D58" i="5"/>
  <c r="J58" i="5"/>
  <c r="D57" i="5"/>
  <c r="J57" i="5"/>
  <c r="D56" i="5"/>
  <c r="J56" i="5"/>
  <c r="J55" i="5"/>
  <c r="D55" i="5"/>
  <c r="J54" i="5"/>
  <c r="D54" i="5"/>
  <c r="J53" i="5"/>
  <c r="D53" i="5"/>
  <c r="D52" i="5"/>
  <c r="J52" i="5"/>
  <c r="D51" i="5"/>
  <c r="J51" i="5"/>
  <c r="J50" i="5"/>
  <c r="D50" i="5"/>
  <c r="J49" i="5"/>
  <c r="D49" i="5"/>
  <c r="J48" i="5"/>
  <c r="D48" i="5"/>
  <c r="D47" i="5"/>
  <c r="J47" i="5"/>
  <c r="J46" i="5"/>
  <c r="D46" i="5"/>
  <c r="J45" i="5"/>
  <c r="D45" i="5"/>
  <c r="D44" i="5"/>
  <c r="J44" i="5"/>
  <c r="J43" i="5"/>
  <c r="D43" i="5"/>
  <c r="J42" i="5"/>
  <c r="D42" i="5"/>
  <c r="J41" i="5"/>
  <c r="D41" i="5"/>
  <c r="J40" i="5"/>
  <c r="D40" i="5"/>
  <c r="D39" i="5"/>
  <c r="J39" i="5"/>
  <c r="D38" i="5"/>
  <c r="J38" i="5"/>
  <c r="J37" i="5"/>
  <c r="D37" i="5"/>
  <c r="J36" i="5"/>
  <c r="D36" i="5"/>
  <c r="J35" i="5"/>
  <c r="D35" i="5"/>
  <c r="D34" i="5"/>
  <c r="J34" i="5"/>
  <c r="J33" i="5"/>
  <c r="D33" i="5"/>
  <c r="J32" i="5"/>
  <c r="D32" i="5"/>
  <c r="D31" i="5"/>
  <c r="J31" i="5"/>
  <c r="J30" i="5"/>
  <c r="D30" i="5"/>
  <c r="J29" i="5"/>
  <c r="D29" i="5"/>
  <c r="J28" i="5"/>
  <c r="D28" i="5"/>
  <c r="D27" i="5"/>
  <c r="J27" i="5"/>
  <c r="J26" i="5"/>
  <c r="D26" i="5"/>
  <c r="D25" i="5"/>
  <c r="J25" i="5"/>
  <c r="J24" i="5"/>
  <c r="D24" i="5"/>
  <c r="D23" i="5"/>
  <c r="J23" i="5"/>
  <c r="D22" i="5"/>
  <c r="J22" i="5"/>
  <c r="D21" i="5"/>
  <c r="J21" i="5"/>
  <c r="D20" i="5"/>
  <c r="J20" i="5"/>
  <c r="D19" i="5"/>
  <c r="J19" i="5"/>
  <c r="D18" i="5"/>
  <c r="J18" i="5"/>
  <c r="D17" i="5"/>
  <c r="J17" i="5"/>
  <c r="D16" i="5"/>
  <c r="J16" i="5"/>
  <c r="D14" i="5"/>
  <c r="J14" i="5"/>
  <c r="D13" i="5"/>
  <c r="J13" i="5"/>
  <c r="D12" i="5"/>
  <c r="J12" i="5"/>
  <c r="D11" i="5"/>
  <c r="J11" i="5"/>
  <c r="D10" i="5"/>
  <c r="J10" i="5"/>
  <c r="J9" i="5"/>
  <c r="D9" i="5"/>
  <c r="D8" i="5"/>
  <c r="J8" i="5"/>
  <c r="D7" i="5"/>
  <c r="J7" i="5"/>
  <c r="D6" i="5"/>
  <c r="J6" i="5"/>
  <c r="J4" i="5"/>
  <c r="D4" i="5"/>
  <c r="E4" i="5" s="1"/>
  <c r="J75" i="4"/>
  <c r="D75" i="4"/>
  <c r="J74" i="4"/>
  <c r="D74" i="4"/>
  <c r="J73" i="4"/>
  <c r="D73" i="4"/>
  <c r="J72" i="4"/>
  <c r="D72" i="4"/>
  <c r="J71" i="4"/>
  <c r="D71" i="4"/>
  <c r="J70" i="4"/>
  <c r="D70" i="4"/>
  <c r="J69" i="4"/>
  <c r="D69" i="4"/>
  <c r="D68" i="4"/>
  <c r="J68" i="4"/>
  <c r="D66" i="4"/>
  <c r="J66" i="4"/>
  <c r="J65" i="4"/>
  <c r="D65" i="4"/>
  <c r="J64" i="4"/>
  <c r="D64" i="4"/>
  <c r="D63" i="4"/>
  <c r="J63" i="4"/>
  <c r="D62" i="4"/>
  <c r="J62" i="4"/>
  <c r="D61" i="4"/>
  <c r="J61" i="4"/>
  <c r="J60" i="4"/>
  <c r="D60" i="4"/>
  <c r="D59" i="4"/>
  <c r="J59" i="4"/>
  <c r="J58" i="4"/>
  <c r="D58" i="4"/>
  <c r="D56" i="4"/>
  <c r="J56" i="4"/>
  <c r="D55" i="4"/>
  <c r="J55" i="4"/>
  <c r="J54" i="4"/>
  <c r="D54" i="4"/>
  <c r="J53" i="4"/>
  <c r="D53" i="4"/>
  <c r="D52" i="4"/>
  <c r="J52" i="4"/>
  <c r="J51" i="4"/>
  <c r="D51" i="4"/>
  <c r="J50" i="4"/>
  <c r="D50" i="4"/>
  <c r="J49" i="4"/>
  <c r="D49" i="4"/>
  <c r="J48" i="4"/>
  <c r="D48" i="4"/>
  <c r="J46" i="4"/>
  <c r="D46" i="4"/>
  <c r="D45" i="4"/>
  <c r="J45" i="4"/>
  <c r="J44" i="4"/>
  <c r="D44" i="4"/>
  <c r="J43" i="4"/>
  <c r="D43" i="4"/>
  <c r="J42" i="4"/>
  <c r="D42" i="4"/>
  <c r="J41" i="4"/>
  <c r="D41" i="4"/>
  <c r="D40" i="4"/>
  <c r="J40" i="4"/>
  <c r="J39" i="4"/>
  <c r="D39" i="4"/>
  <c r="D38" i="4"/>
  <c r="J38" i="4"/>
  <c r="J37" i="4"/>
  <c r="D37" i="4"/>
  <c r="D36" i="4"/>
  <c r="J36" i="4"/>
  <c r="D35" i="4"/>
  <c r="J35" i="4"/>
  <c r="D34" i="4"/>
  <c r="J34" i="4"/>
  <c r="J33" i="4"/>
  <c r="D33" i="4"/>
  <c r="J32" i="4"/>
  <c r="D32" i="4"/>
  <c r="D31" i="4"/>
  <c r="J31" i="4"/>
  <c r="J30" i="4"/>
  <c r="D30" i="4"/>
  <c r="J29" i="4"/>
  <c r="D29" i="4"/>
  <c r="D28" i="4"/>
  <c r="J28" i="4"/>
  <c r="J27" i="4"/>
  <c r="D27" i="4"/>
  <c r="J26" i="4"/>
  <c r="D26" i="4"/>
  <c r="D25" i="4"/>
  <c r="J25" i="4"/>
  <c r="D24" i="4"/>
  <c r="J24" i="4"/>
  <c r="J23" i="4"/>
  <c r="D23" i="4"/>
  <c r="D22" i="4"/>
  <c r="J22" i="4"/>
  <c r="J21" i="4"/>
  <c r="D21" i="4"/>
  <c r="J20" i="4"/>
  <c r="D20" i="4"/>
  <c r="J19" i="4"/>
  <c r="D19" i="4"/>
  <c r="D18" i="4"/>
  <c r="J18" i="4"/>
  <c r="D17" i="4"/>
  <c r="J17" i="4"/>
  <c r="D16" i="4"/>
  <c r="J16" i="4"/>
  <c r="J15" i="4"/>
  <c r="D15" i="4"/>
  <c r="J14" i="4"/>
  <c r="D14" i="4"/>
  <c r="D13" i="4"/>
  <c r="J13" i="4"/>
  <c r="D12" i="4"/>
  <c r="J12" i="4"/>
  <c r="D11" i="4"/>
  <c r="J11" i="4"/>
  <c r="J10" i="4"/>
  <c r="D10" i="4"/>
  <c r="J9" i="4"/>
  <c r="D9" i="4"/>
  <c r="J7" i="4"/>
  <c r="D7" i="4"/>
  <c r="D6" i="4"/>
  <c r="J6" i="4"/>
  <c r="D5" i="4"/>
  <c r="J5" i="4"/>
  <c r="J4" i="4"/>
  <c r="D4" i="4"/>
  <c r="E4" i="4" s="1"/>
  <c r="D75" i="3"/>
  <c r="J75" i="3"/>
  <c r="D74" i="3"/>
  <c r="J74" i="3"/>
  <c r="J73" i="3"/>
  <c r="D73" i="3"/>
  <c r="J72" i="3"/>
  <c r="D72" i="3"/>
  <c r="D71" i="3"/>
  <c r="J71" i="3"/>
  <c r="D70" i="3"/>
  <c r="J70" i="3"/>
  <c r="D69" i="3"/>
  <c r="J69" i="3"/>
  <c r="D68" i="3"/>
  <c r="J68" i="3"/>
  <c r="D67" i="3"/>
  <c r="J67" i="3"/>
  <c r="D66" i="3"/>
  <c r="J66" i="3"/>
  <c r="D65" i="3"/>
  <c r="J65" i="3"/>
  <c r="D64" i="3"/>
  <c r="J64" i="3"/>
  <c r="J63" i="3"/>
  <c r="D63" i="3"/>
  <c r="J62" i="3"/>
  <c r="D62" i="3"/>
  <c r="J61" i="3"/>
  <c r="D61" i="3"/>
  <c r="D60" i="3"/>
  <c r="J60" i="3"/>
  <c r="J59" i="3"/>
  <c r="D59" i="3"/>
  <c r="J58" i="3"/>
  <c r="D58" i="3"/>
  <c r="J57" i="3"/>
  <c r="D57" i="3"/>
  <c r="D55" i="3"/>
  <c r="J55" i="3"/>
  <c r="J54" i="3"/>
  <c r="D54" i="3"/>
  <c r="J53" i="3"/>
  <c r="D53" i="3"/>
  <c r="J52" i="3"/>
  <c r="D52" i="3"/>
  <c r="J51" i="3"/>
  <c r="D51" i="3"/>
  <c r="D50" i="3"/>
  <c r="J50" i="3"/>
  <c r="J48" i="3"/>
  <c r="D48" i="3"/>
  <c r="J47" i="3"/>
  <c r="D47" i="3"/>
  <c r="D46" i="3"/>
  <c r="J46" i="3"/>
  <c r="D45" i="3"/>
  <c r="J45" i="3"/>
  <c r="J44" i="3"/>
  <c r="D44" i="3"/>
  <c r="J43" i="3"/>
  <c r="D43" i="3"/>
  <c r="J42" i="3"/>
  <c r="D42" i="3"/>
  <c r="D41" i="3"/>
  <c r="J41" i="3"/>
  <c r="D40" i="3"/>
  <c r="J40" i="3"/>
  <c r="D39" i="3"/>
  <c r="J39" i="3"/>
  <c r="J37" i="3"/>
  <c r="D37" i="3"/>
  <c r="D36" i="3"/>
  <c r="J36" i="3"/>
  <c r="J35" i="3"/>
  <c r="D35" i="3"/>
  <c r="D34" i="3"/>
  <c r="J34" i="3"/>
  <c r="D33" i="3"/>
  <c r="J33" i="3"/>
  <c r="D32" i="3"/>
  <c r="J32" i="3"/>
  <c r="D31" i="3"/>
  <c r="J31" i="3"/>
  <c r="D30" i="3"/>
  <c r="J30" i="3"/>
  <c r="J29" i="3"/>
  <c r="D29" i="3"/>
  <c r="D27" i="3"/>
  <c r="J27" i="3"/>
  <c r="D26" i="3"/>
  <c r="J26" i="3"/>
  <c r="D25" i="3"/>
  <c r="J25" i="3"/>
  <c r="D24" i="3"/>
  <c r="J24" i="3"/>
  <c r="D23" i="3"/>
  <c r="J23" i="3"/>
  <c r="D22" i="3"/>
  <c r="J22" i="3"/>
  <c r="J21" i="3"/>
  <c r="D21" i="3"/>
  <c r="D20" i="3"/>
  <c r="J20" i="3"/>
  <c r="J19" i="3"/>
  <c r="D19" i="3"/>
  <c r="J17" i="3"/>
  <c r="D17" i="3"/>
  <c r="J16" i="3"/>
  <c r="D16" i="3"/>
  <c r="J15" i="3"/>
  <c r="D15" i="3"/>
  <c r="D14" i="3"/>
  <c r="J14" i="3"/>
  <c r="J13" i="3"/>
  <c r="D13" i="3"/>
  <c r="J12" i="3"/>
  <c r="D12" i="3"/>
  <c r="J11" i="3"/>
  <c r="D11" i="3"/>
  <c r="J10" i="3"/>
  <c r="D10" i="3"/>
  <c r="D9" i="3"/>
  <c r="J9" i="3"/>
  <c r="D7" i="3"/>
  <c r="J7" i="3"/>
  <c r="J6" i="3"/>
  <c r="D6" i="3"/>
  <c r="J5" i="3"/>
  <c r="D5" i="3"/>
  <c r="J4" i="3"/>
  <c r="D4" i="3"/>
  <c r="E4" i="3" s="1"/>
  <c r="L54" i="5"/>
  <c r="L55" i="5"/>
  <c r="L72" i="3"/>
  <c r="L26" i="4"/>
  <c r="L65" i="5"/>
  <c r="L71" i="3"/>
  <c r="L34" i="4"/>
  <c r="L25" i="4"/>
  <c r="L70" i="3"/>
  <c r="L17" i="3"/>
  <c r="L35" i="4"/>
  <c r="L36" i="4"/>
  <c r="L39" i="4"/>
  <c r="L62" i="4"/>
  <c r="L5" i="4"/>
  <c r="L64" i="4"/>
  <c r="L65" i="4"/>
  <c r="L45" i="3"/>
  <c r="L66" i="4"/>
  <c r="L4" i="5"/>
  <c r="L16" i="4"/>
  <c r="L11" i="5"/>
  <c r="L12" i="5"/>
  <c r="L13" i="5"/>
  <c r="L14" i="5"/>
  <c r="L6" i="4"/>
  <c r="L7" i="3"/>
  <c r="L22" i="5"/>
  <c r="L24" i="4"/>
  <c r="L23" i="5"/>
  <c r="L6" i="3"/>
  <c r="L33" i="4"/>
  <c r="L37" i="3"/>
  <c r="L24" i="5"/>
  <c r="L5" i="3"/>
  <c r="L34" i="5"/>
  <c r="L75" i="5"/>
  <c r="L27" i="3"/>
  <c r="L4" i="3"/>
  <c r="L4" i="4"/>
  <c r="L44" i="5"/>
  <c r="L68" i="3"/>
  <c r="L26" i="3"/>
  <c r="L41" i="4"/>
  <c r="L67" i="3"/>
  <c r="L45" i="5"/>
  <c r="L75" i="3"/>
  <c r="L42" i="4"/>
  <c r="L43" i="4"/>
  <c r="L66" i="3"/>
  <c r="L44" i="4"/>
  <c r="L25" i="3"/>
  <c r="L50" i="5"/>
  <c r="L45" i="4"/>
  <c r="L65" i="3"/>
  <c r="L46" i="4"/>
  <c r="L40" i="4"/>
  <c r="L51" i="5"/>
  <c r="L74" i="3"/>
  <c r="L55" i="4"/>
  <c r="L56" i="4"/>
  <c r="L59" i="4"/>
  <c r="L60" i="4"/>
  <c r="L52" i="5"/>
  <c r="L53" i="5"/>
  <c r="L47" i="3"/>
  <c r="L61" i="4"/>
  <c r="L63" i="4"/>
  <c r="L46" i="3"/>
  <c r="L73" i="3"/>
  <c r="L54" i="4"/>
  <c r="F4" i="5" l="1"/>
  <c r="H4" i="5"/>
  <c r="E5" i="5"/>
  <c r="F4" i="4"/>
  <c r="H4" i="4"/>
  <c r="E5" i="4"/>
  <c r="F4" i="3"/>
  <c r="H4" i="3"/>
  <c r="E5" i="3"/>
  <c r="G4" i="5" l="1"/>
  <c r="N4" i="5" s="1"/>
  <c r="O4" i="5" s="1"/>
  <c r="F5" i="5"/>
  <c r="H5" i="5"/>
  <c r="E6" i="5"/>
  <c r="G4" i="4"/>
  <c r="N4" i="4" s="1"/>
  <c r="O4" i="4" s="1"/>
  <c r="F5" i="4"/>
  <c r="H5" i="4"/>
  <c r="E6" i="4"/>
  <c r="G4" i="3"/>
  <c r="N4" i="3" s="1"/>
  <c r="O4" i="3" s="1"/>
  <c r="F5" i="3"/>
  <c r="H5" i="3"/>
  <c r="E6" i="3"/>
  <c r="P4" i="5" l="1"/>
  <c r="G5" i="5"/>
  <c r="N5" i="5" s="1"/>
  <c r="O5" i="5"/>
  <c r="F6" i="5"/>
  <c r="H6" i="5"/>
  <c r="E7" i="5"/>
  <c r="P4" i="4"/>
  <c r="G5" i="4"/>
  <c r="N5" i="4" s="1"/>
  <c r="O5" i="4" s="1"/>
  <c r="F6" i="4"/>
  <c r="H6" i="4"/>
  <c r="E7" i="4"/>
  <c r="P4" i="3"/>
  <c r="G5" i="3"/>
  <c r="N5" i="3" s="1"/>
  <c r="O5" i="3" s="1"/>
  <c r="F6" i="3"/>
  <c r="H6" i="3"/>
  <c r="E7" i="3"/>
  <c r="P5" i="5" l="1"/>
  <c r="G6" i="5"/>
  <c r="N6" i="5" s="1"/>
  <c r="O6" i="5"/>
  <c r="F7" i="5"/>
  <c r="H7" i="5"/>
  <c r="E8" i="5"/>
  <c r="P5" i="4"/>
  <c r="G6" i="4"/>
  <c r="N6" i="4" s="1"/>
  <c r="O6" i="4" s="1"/>
  <c r="F7" i="4"/>
  <c r="H7" i="4"/>
  <c r="E8" i="4"/>
  <c r="P5" i="3"/>
  <c r="G6" i="3"/>
  <c r="N6" i="3" s="1"/>
  <c r="O6" i="3" s="1"/>
  <c r="F7" i="3"/>
  <c r="H7" i="3"/>
  <c r="E8" i="3"/>
  <c r="G7" i="5" l="1"/>
  <c r="N7" i="5" s="1"/>
  <c r="O7" i="5" s="1"/>
  <c r="E9" i="5"/>
  <c r="F8" i="5"/>
  <c r="H8" i="5"/>
  <c r="G7" i="4"/>
  <c r="N7" i="4" s="1"/>
  <c r="O7" i="4"/>
  <c r="F8" i="4"/>
  <c r="E9" i="4"/>
  <c r="H8" i="4"/>
  <c r="G7" i="3"/>
  <c r="N7" i="3" s="1"/>
  <c r="O7" i="3" s="1"/>
  <c r="E9" i="3"/>
  <c r="F8" i="3"/>
  <c r="H8" i="3"/>
  <c r="P6" i="4"/>
  <c r="P6" i="3"/>
  <c r="P6" i="5"/>
  <c r="P7" i="5" l="1"/>
  <c r="E10" i="5"/>
  <c r="F9" i="5"/>
  <c r="H9" i="5"/>
  <c r="G8" i="5"/>
  <c r="N8" i="5" s="1"/>
  <c r="O8" i="5" s="1"/>
  <c r="G8" i="4"/>
  <c r="N8" i="4" s="1"/>
  <c r="O8" i="4" s="1"/>
  <c r="F9" i="4"/>
  <c r="H9" i="4"/>
  <c r="E10" i="4"/>
  <c r="F9" i="3"/>
  <c r="H9" i="3"/>
  <c r="E10" i="3"/>
  <c r="G8" i="3"/>
  <c r="N8" i="3" s="1"/>
  <c r="O8" i="3" s="1"/>
  <c r="P8" i="3" s="1"/>
  <c r="P7" i="3"/>
  <c r="P7" i="4"/>
  <c r="P8" i="5" l="1"/>
  <c r="F10" i="5"/>
  <c r="E11" i="5"/>
  <c r="H10" i="5"/>
  <c r="G9" i="5"/>
  <c r="N9" i="5" s="1"/>
  <c r="O9" i="5" s="1"/>
  <c r="G9" i="4"/>
  <c r="N9" i="4" s="1"/>
  <c r="O9" i="4"/>
  <c r="F10" i="4"/>
  <c r="H10" i="4"/>
  <c r="E11" i="4"/>
  <c r="G9" i="3"/>
  <c r="N9" i="3" s="1"/>
  <c r="O9" i="3"/>
  <c r="P9" i="3" s="1"/>
  <c r="F10" i="3"/>
  <c r="H10" i="3"/>
  <c r="E11" i="3"/>
  <c r="P8" i="4"/>
  <c r="G10" i="5" l="1"/>
  <c r="N10" i="5" s="1"/>
  <c r="O10" i="5" s="1"/>
  <c r="P10" i="5" s="1"/>
  <c r="F11" i="5"/>
  <c r="H11" i="5"/>
  <c r="E12" i="5"/>
  <c r="G10" i="4"/>
  <c r="N10" i="4" s="1"/>
  <c r="O10" i="4" s="1"/>
  <c r="P10" i="4" s="1"/>
  <c r="H11" i="4"/>
  <c r="F11" i="4"/>
  <c r="E12" i="4"/>
  <c r="G10" i="3"/>
  <c r="N10" i="3" s="1"/>
  <c r="O10" i="3" s="1"/>
  <c r="P10" i="3" s="1"/>
  <c r="F11" i="3"/>
  <c r="H11" i="3"/>
  <c r="E12" i="3"/>
  <c r="P9" i="5"/>
  <c r="P9" i="4"/>
  <c r="G11" i="5" l="1"/>
  <c r="N11" i="5" s="1"/>
  <c r="O11" i="5"/>
  <c r="P11" i="5" s="1"/>
  <c r="F12" i="5"/>
  <c r="H12" i="5"/>
  <c r="E13" i="5"/>
  <c r="G11" i="4"/>
  <c r="N11" i="4" s="1"/>
  <c r="O11" i="4" s="1"/>
  <c r="P11" i="4" s="1"/>
  <c r="F12" i="4"/>
  <c r="H12" i="4"/>
  <c r="E13" i="4"/>
  <c r="G11" i="3"/>
  <c r="N11" i="3" s="1"/>
  <c r="O11" i="3" s="1"/>
  <c r="P11" i="3" s="1"/>
  <c r="F12" i="3"/>
  <c r="H12" i="3"/>
  <c r="E13" i="3"/>
  <c r="G12" i="5" l="1"/>
  <c r="N12" i="5" s="1"/>
  <c r="O12" i="5"/>
  <c r="P12" i="5" s="1"/>
  <c r="F13" i="5"/>
  <c r="H13" i="5"/>
  <c r="E14" i="5"/>
  <c r="G12" i="4"/>
  <c r="N12" i="4" s="1"/>
  <c r="O12" i="4"/>
  <c r="P12" i="4" s="1"/>
  <c r="H13" i="4"/>
  <c r="F13" i="4"/>
  <c r="E14" i="4"/>
  <c r="G12" i="3"/>
  <c r="N12" i="3" s="1"/>
  <c r="O12" i="3"/>
  <c r="P12" i="3" s="1"/>
  <c r="F13" i="3"/>
  <c r="H13" i="3"/>
  <c r="E14" i="3"/>
  <c r="G13" i="5" l="1"/>
  <c r="N13" i="5" s="1"/>
  <c r="O13" i="5"/>
  <c r="P13" i="5" s="1"/>
  <c r="F14" i="5"/>
  <c r="H14" i="5"/>
  <c r="E15" i="5"/>
  <c r="G13" i="4"/>
  <c r="N13" i="4" s="1"/>
  <c r="O13" i="4" s="1"/>
  <c r="P13" i="4" s="1"/>
  <c r="F14" i="4"/>
  <c r="H14" i="4"/>
  <c r="E15" i="4"/>
  <c r="G13" i="3"/>
  <c r="N13" i="3" s="1"/>
  <c r="O13" i="3"/>
  <c r="P13" i="3" s="1"/>
  <c r="F14" i="3"/>
  <c r="H14" i="3"/>
  <c r="E15" i="3"/>
  <c r="G14" i="5" l="1"/>
  <c r="N14" i="5" s="1"/>
  <c r="O14" i="5"/>
  <c r="P14" i="5" s="1"/>
  <c r="F15" i="5"/>
  <c r="H15" i="5"/>
  <c r="E16" i="5"/>
  <c r="G14" i="4"/>
  <c r="N14" i="4" s="1"/>
  <c r="O14" i="4" s="1"/>
  <c r="P14" i="4" s="1"/>
  <c r="F15" i="4"/>
  <c r="H15" i="4"/>
  <c r="E16" i="4"/>
  <c r="G14" i="3"/>
  <c r="N14" i="3" s="1"/>
  <c r="O14" i="3" s="1"/>
  <c r="P14" i="3" s="1"/>
  <c r="F15" i="3"/>
  <c r="H15" i="3"/>
  <c r="E16" i="3"/>
  <c r="G15" i="5" l="1"/>
  <c r="N15" i="5" s="1"/>
  <c r="O15" i="5"/>
  <c r="P15" i="5" s="1"/>
  <c r="F16" i="5"/>
  <c r="H16" i="5"/>
  <c r="E17" i="5"/>
  <c r="G15" i="4"/>
  <c r="N15" i="4" s="1"/>
  <c r="O15" i="4"/>
  <c r="P15" i="4" s="1"/>
  <c r="F16" i="4"/>
  <c r="H16" i="4"/>
  <c r="E17" i="4"/>
  <c r="G15" i="3"/>
  <c r="N15" i="3" s="1"/>
  <c r="O15" i="3"/>
  <c r="P15" i="3" s="1"/>
  <c r="F16" i="3"/>
  <c r="H16" i="3"/>
  <c r="E17" i="3"/>
  <c r="J17" i="1" l="1"/>
  <c r="D5" i="1"/>
  <c r="G16" i="5"/>
  <c r="N16" i="5" s="1"/>
  <c r="O16" i="5" s="1"/>
  <c r="P16" i="5" s="1"/>
  <c r="F17" i="5"/>
  <c r="H17" i="5"/>
  <c r="E18" i="5"/>
  <c r="C5" i="1"/>
  <c r="G17" i="1"/>
  <c r="G16" i="4"/>
  <c r="N16" i="4" s="1"/>
  <c r="O16" i="4"/>
  <c r="P16" i="4" s="1"/>
  <c r="F17" i="4"/>
  <c r="H17" i="4"/>
  <c r="E18" i="4"/>
  <c r="D17" i="1"/>
  <c r="B5" i="1"/>
  <c r="G16" i="3"/>
  <c r="N16" i="3" s="1"/>
  <c r="O16" i="3" s="1"/>
  <c r="P16" i="3" s="1"/>
  <c r="F17" i="3"/>
  <c r="H17" i="3"/>
  <c r="E18" i="3"/>
  <c r="G17" i="5" l="1"/>
  <c r="N17" i="5" s="1"/>
  <c r="O17" i="5" s="1"/>
  <c r="P17" i="5" s="1"/>
  <c r="F18" i="5"/>
  <c r="H18" i="5"/>
  <c r="E19" i="5"/>
  <c r="G17" i="4"/>
  <c r="N17" i="4" s="1"/>
  <c r="O17" i="4"/>
  <c r="P17" i="4" s="1"/>
  <c r="F18" i="4"/>
  <c r="H18" i="4"/>
  <c r="E19" i="4"/>
  <c r="G17" i="3"/>
  <c r="N17" i="3" s="1"/>
  <c r="O17" i="3" s="1"/>
  <c r="P17" i="3" s="1"/>
  <c r="F18" i="3"/>
  <c r="E19" i="3"/>
  <c r="H18" i="3"/>
  <c r="G18" i="5" l="1"/>
  <c r="N18" i="5" s="1"/>
  <c r="O18" i="5" s="1"/>
  <c r="P18" i="5" s="1"/>
  <c r="F19" i="5"/>
  <c r="H19" i="5"/>
  <c r="E20" i="5"/>
  <c r="G18" i="4"/>
  <c r="N18" i="4" s="1"/>
  <c r="O18" i="4" s="1"/>
  <c r="P18" i="4" s="1"/>
  <c r="F19" i="4"/>
  <c r="H19" i="4"/>
  <c r="E20" i="4"/>
  <c r="G18" i="3"/>
  <c r="N18" i="3" s="1"/>
  <c r="O18" i="3" s="1"/>
  <c r="P18" i="3" s="1"/>
  <c r="F19" i="3"/>
  <c r="H19" i="3"/>
  <c r="E20" i="3"/>
  <c r="G19" i="5" l="1"/>
  <c r="N19" i="5" s="1"/>
  <c r="O19" i="5" s="1"/>
  <c r="P19" i="5" s="1"/>
  <c r="F20" i="5"/>
  <c r="H20" i="5"/>
  <c r="E21" i="5"/>
  <c r="G19" i="4"/>
  <c r="N19" i="4" s="1"/>
  <c r="O19" i="4"/>
  <c r="P19" i="4" s="1"/>
  <c r="F20" i="4"/>
  <c r="H20" i="4"/>
  <c r="E21" i="4"/>
  <c r="G19" i="3"/>
  <c r="N19" i="3" s="1"/>
  <c r="O19" i="3"/>
  <c r="P19" i="3" s="1"/>
  <c r="F20" i="3"/>
  <c r="H20" i="3"/>
  <c r="E21" i="3"/>
  <c r="G20" i="5" l="1"/>
  <c r="N20" i="5" s="1"/>
  <c r="O20" i="5" s="1"/>
  <c r="P20" i="5" s="1"/>
  <c r="F21" i="5"/>
  <c r="H21" i="5"/>
  <c r="E22" i="5"/>
  <c r="G20" i="4"/>
  <c r="N20" i="4" s="1"/>
  <c r="O20" i="4" s="1"/>
  <c r="P20" i="4" s="1"/>
  <c r="F21" i="4"/>
  <c r="H21" i="4"/>
  <c r="E22" i="4"/>
  <c r="G20" i="3"/>
  <c r="N20" i="3" s="1"/>
  <c r="O20" i="3"/>
  <c r="P20" i="3" s="1"/>
  <c r="F21" i="3"/>
  <c r="H21" i="3"/>
  <c r="E22" i="3"/>
  <c r="G21" i="5" l="1"/>
  <c r="N21" i="5" s="1"/>
  <c r="O21" i="5" s="1"/>
  <c r="P21" i="5" s="1"/>
  <c r="F22" i="5"/>
  <c r="H22" i="5"/>
  <c r="E23" i="5"/>
  <c r="G21" i="4"/>
  <c r="N21" i="4" s="1"/>
  <c r="O21" i="4" s="1"/>
  <c r="P21" i="4" s="1"/>
  <c r="F22" i="4"/>
  <c r="H22" i="4"/>
  <c r="E23" i="4"/>
  <c r="G21" i="3"/>
  <c r="N21" i="3" s="1"/>
  <c r="O21" i="3"/>
  <c r="P21" i="3" s="1"/>
  <c r="F22" i="3"/>
  <c r="H22" i="3"/>
  <c r="E23" i="3"/>
  <c r="G22" i="5" l="1"/>
  <c r="N22" i="5" s="1"/>
  <c r="O22" i="5" s="1"/>
  <c r="P22" i="5" s="1"/>
  <c r="F23" i="5"/>
  <c r="H23" i="5"/>
  <c r="E24" i="5"/>
  <c r="G22" i="4"/>
  <c r="N22" i="4" s="1"/>
  <c r="O22" i="4" s="1"/>
  <c r="P22" i="4" s="1"/>
  <c r="F23" i="4"/>
  <c r="H23" i="4"/>
  <c r="E24" i="4"/>
  <c r="G22" i="3"/>
  <c r="N22" i="3" s="1"/>
  <c r="O22" i="3" s="1"/>
  <c r="P22" i="3" s="1"/>
  <c r="F23" i="3"/>
  <c r="H23" i="3"/>
  <c r="E24" i="3"/>
  <c r="G23" i="5" l="1"/>
  <c r="N23" i="5" s="1"/>
  <c r="O23" i="5"/>
  <c r="P23" i="5" s="1"/>
  <c r="F24" i="5"/>
  <c r="H24" i="5"/>
  <c r="E25" i="5"/>
  <c r="G23" i="4"/>
  <c r="N23" i="4" s="1"/>
  <c r="O23" i="4" s="1"/>
  <c r="P23" i="4" s="1"/>
  <c r="F24" i="4"/>
  <c r="H24" i="4"/>
  <c r="E25" i="4"/>
  <c r="G23" i="3"/>
  <c r="N23" i="3" s="1"/>
  <c r="O23" i="3" s="1"/>
  <c r="P23" i="3" s="1"/>
  <c r="F24" i="3"/>
  <c r="H24" i="3"/>
  <c r="E25" i="3"/>
  <c r="G24" i="5" l="1"/>
  <c r="N24" i="5" s="1"/>
  <c r="O24" i="5"/>
  <c r="P24" i="5" s="1"/>
  <c r="F25" i="5"/>
  <c r="H25" i="5"/>
  <c r="E26" i="5"/>
  <c r="G24" i="4"/>
  <c r="N24" i="4" s="1"/>
  <c r="O24" i="4"/>
  <c r="P24" i="4" s="1"/>
  <c r="F25" i="4"/>
  <c r="H25" i="4"/>
  <c r="E26" i="4"/>
  <c r="G24" i="3"/>
  <c r="N24" i="3" s="1"/>
  <c r="O24" i="3"/>
  <c r="P24" i="3" s="1"/>
  <c r="F25" i="3"/>
  <c r="H25" i="3"/>
  <c r="E26" i="3"/>
  <c r="G25" i="5" l="1"/>
  <c r="N25" i="5" s="1"/>
  <c r="O25" i="5" s="1"/>
  <c r="P25" i="5" s="1"/>
  <c r="F26" i="5"/>
  <c r="H26" i="5"/>
  <c r="E27" i="5"/>
  <c r="G25" i="4"/>
  <c r="N25" i="4" s="1"/>
  <c r="O25" i="4"/>
  <c r="P25" i="4" s="1"/>
  <c r="F26" i="4"/>
  <c r="H26" i="4"/>
  <c r="E27" i="4"/>
  <c r="G25" i="3"/>
  <c r="N25" i="3" s="1"/>
  <c r="O25" i="3" s="1"/>
  <c r="P25" i="3" s="1"/>
  <c r="F26" i="3"/>
  <c r="H26" i="3"/>
  <c r="E27" i="3"/>
  <c r="G26" i="5" l="1"/>
  <c r="N26" i="5" s="1"/>
  <c r="O26" i="5" s="1"/>
  <c r="P26" i="5" s="1"/>
  <c r="E28" i="5"/>
  <c r="F27" i="5"/>
  <c r="H27" i="5"/>
  <c r="G26" i="4"/>
  <c r="N26" i="4" s="1"/>
  <c r="O26" i="4" s="1"/>
  <c r="P26" i="4" s="1"/>
  <c r="F27" i="4"/>
  <c r="H27" i="4"/>
  <c r="E28" i="4"/>
  <c r="G26" i="3"/>
  <c r="N26" i="3" s="1"/>
  <c r="O26" i="3"/>
  <c r="P26" i="3" s="1"/>
  <c r="F27" i="3"/>
  <c r="H27" i="3"/>
  <c r="E28" i="3"/>
  <c r="F28" i="5" l="1"/>
  <c r="H28" i="5"/>
  <c r="E29" i="5"/>
  <c r="G27" i="5"/>
  <c r="N27" i="5" s="1"/>
  <c r="O27" i="5" s="1"/>
  <c r="P27" i="5" s="1"/>
  <c r="G27" i="4"/>
  <c r="N27" i="4" s="1"/>
  <c r="O27" i="4"/>
  <c r="P27" i="4" s="1"/>
  <c r="F28" i="4"/>
  <c r="H28" i="4"/>
  <c r="E29" i="4"/>
  <c r="G27" i="3"/>
  <c r="N27" i="3" s="1"/>
  <c r="O27" i="3"/>
  <c r="P27" i="3" s="1"/>
  <c r="F28" i="3"/>
  <c r="H28" i="3"/>
  <c r="E29" i="3"/>
  <c r="G28" i="5" l="1"/>
  <c r="N28" i="5" s="1"/>
  <c r="O28" i="5" s="1"/>
  <c r="P28" i="5" s="1"/>
  <c r="H29" i="5"/>
  <c r="F29" i="5"/>
  <c r="E30" i="5"/>
  <c r="J18" i="1"/>
  <c r="G18" i="1"/>
  <c r="G28" i="4"/>
  <c r="N28" i="4" s="1"/>
  <c r="O28" i="4" s="1"/>
  <c r="P28" i="4" s="1"/>
  <c r="F29" i="4"/>
  <c r="H29" i="4"/>
  <c r="E30" i="4"/>
  <c r="D18" i="1"/>
  <c r="G28" i="3"/>
  <c r="N28" i="3" s="1"/>
  <c r="O28" i="3"/>
  <c r="P28" i="3" s="1"/>
  <c r="H29" i="3"/>
  <c r="E30" i="3"/>
  <c r="F29" i="3"/>
  <c r="G29" i="5" l="1"/>
  <c r="N29" i="5" s="1"/>
  <c r="O29" i="5"/>
  <c r="P29" i="5" s="1"/>
  <c r="F30" i="5"/>
  <c r="H30" i="5"/>
  <c r="E31" i="5"/>
  <c r="G29" i="4"/>
  <c r="N29" i="4" s="1"/>
  <c r="O29" i="4"/>
  <c r="P29" i="4" s="1"/>
  <c r="F30" i="4"/>
  <c r="H30" i="4"/>
  <c r="E31" i="4"/>
  <c r="H30" i="3"/>
  <c r="E31" i="3"/>
  <c r="F30" i="3"/>
  <c r="G29" i="3"/>
  <c r="N29" i="3" s="1"/>
  <c r="O29" i="3" s="1"/>
  <c r="P29" i="3" s="1"/>
  <c r="G30" i="5" l="1"/>
  <c r="N30" i="5" s="1"/>
  <c r="O30" i="5" s="1"/>
  <c r="P30" i="5" s="1"/>
  <c r="F31" i="5"/>
  <c r="E32" i="5"/>
  <c r="H31" i="5"/>
  <c r="G30" i="4"/>
  <c r="N30" i="4" s="1"/>
  <c r="O30" i="4"/>
  <c r="P30" i="4" s="1"/>
  <c r="F31" i="4"/>
  <c r="H31" i="4"/>
  <c r="E32" i="4"/>
  <c r="F31" i="3"/>
  <c r="H31" i="3"/>
  <c r="E32" i="3"/>
  <c r="G30" i="3"/>
  <c r="N30" i="3" s="1"/>
  <c r="O30" i="3" s="1"/>
  <c r="P30" i="3" s="1"/>
  <c r="G31" i="5" l="1"/>
  <c r="N31" i="5" s="1"/>
  <c r="O31" i="5" s="1"/>
  <c r="P31" i="5" s="1"/>
  <c r="F32" i="5"/>
  <c r="H32" i="5"/>
  <c r="E33" i="5"/>
  <c r="G31" i="4"/>
  <c r="N31" i="4" s="1"/>
  <c r="O31" i="4" s="1"/>
  <c r="P31" i="4" s="1"/>
  <c r="F32" i="4"/>
  <c r="H32" i="4"/>
  <c r="E33" i="4"/>
  <c r="G31" i="3"/>
  <c r="N31" i="3" s="1"/>
  <c r="O31" i="3" s="1"/>
  <c r="P31" i="3" s="1"/>
  <c r="F32" i="3"/>
  <c r="E33" i="3"/>
  <c r="H32" i="3"/>
  <c r="G32" i="5" l="1"/>
  <c r="N32" i="5" s="1"/>
  <c r="O32" i="5"/>
  <c r="P32" i="5" s="1"/>
  <c r="F33" i="5"/>
  <c r="H33" i="5"/>
  <c r="E34" i="5"/>
  <c r="G32" i="4"/>
  <c r="N32" i="4" s="1"/>
  <c r="O32" i="4"/>
  <c r="P32" i="4" s="1"/>
  <c r="F33" i="4"/>
  <c r="H33" i="4"/>
  <c r="E34" i="4"/>
  <c r="G32" i="3"/>
  <c r="N32" i="3" s="1"/>
  <c r="O32" i="3" s="1"/>
  <c r="P32" i="3" s="1"/>
  <c r="F33" i="3"/>
  <c r="H33" i="3"/>
  <c r="E34" i="3"/>
  <c r="G33" i="5" l="1"/>
  <c r="N33" i="5" s="1"/>
  <c r="O33" i="5" s="1"/>
  <c r="P33" i="5" s="1"/>
  <c r="F34" i="5"/>
  <c r="H34" i="5"/>
  <c r="E35" i="5"/>
  <c r="G33" i="4"/>
  <c r="N33" i="4" s="1"/>
  <c r="O33" i="4"/>
  <c r="P33" i="4" s="1"/>
  <c r="F34" i="4"/>
  <c r="H34" i="4"/>
  <c r="E35" i="4"/>
  <c r="G33" i="3"/>
  <c r="N33" i="3" s="1"/>
  <c r="O33" i="3" s="1"/>
  <c r="P33" i="3" s="1"/>
  <c r="F34" i="3"/>
  <c r="E35" i="3"/>
  <c r="H34" i="3"/>
  <c r="G34" i="5" l="1"/>
  <c r="N34" i="5" s="1"/>
  <c r="O34" i="5" s="1"/>
  <c r="P34" i="5" s="1"/>
  <c r="F35" i="5"/>
  <c r="H35" i="5"/>
  <c r="E36" i="5"/>
  <c r="G34" i="4"/>
  <c r="N34" i="4" s="1"/>
  <c r="O34" i="4" s="1"/>
  <c r="P34" i="4" s="1"/>
  <c r="F35" i="4"/>
  <c r="H35" i="4"/>
  <c r="E36" i="4"/>
  <c r="G34" i="3"/>
  <c r="N34" i="3" s="1"/>
  <c r="O34" i="3" s="1"/>
  <c r="P34" i="3" s="1"/>
  <c r="F35" i="3"/>
  <c r="H35" i="3"/>
  <c r="E36" i="3"/>
  <c r="G35" i="5" l="1"/>
  <c r="N35" i="5" s="1"/>
  <c r="O35" i="5"/>
  <c r="P35" i="5" s="1"/>
  <c r="F36" i="5"/>
  <c r="H36" i="5"/>
  <c r="E37" i="5"/>
  <c r="G35" i="4"/>
  <c r="N35" i="4" s="1"/>
  <c r="O35" i="4" s="1"/>
  <c r="P35" i="4" s="1"/>
  <c r="F36" i="4"/>
  <c r="H36" i="4"/>
  <c r="E37" i="4"/>
  <c r="G35" i="3"/>
  <c r="N35" i="3" s="1"/>
  <c r="O35" i="3"/>
  <c r="P35" i="3" s="1"/>
  <c r="F36" i="3"/>
  <c r="H36" i="3"/>
  <c r="E37" i="3"/>
  <c r="G36" i="5" l="1"/>
  <c r="N36" i="5" s="1"/>
  <c r="O36" i="5"/>
  <c r="P36" i="5" s="1"/>
  <c r="F37" i="5"/>
  <c r="H37" i="5"/>
  <c r="E38" i="5"/>
  <c r="G36" i="4"/>
  <c r="N36" i="4" s="1"/>
  <c r="O36" i="4" s="1"/>
  <c r="P36" i="4" s="1"/>
  <c r="F37" i="4"/>
  <c r="H37" i="4"/>
  <c r="E38" i="4"/>
  <c r="G36" i="3"/>
  <c r="N36" i="3" s="1"/>
  <c r="O36" i="3" s="1"/>
  <c r="P36" i="3" s="1"/>
  <c r="F37" i="3"/>
  <c r="H37" i="3"/>
  <c r="E38" i="3"/>
  <c r="G37" i="5" l="1"/>
  <c r="N37" i="5" s="1"/>
  <c r="O37" i="5"/>
  <c r="P37" i="5" s="1"/>
  <c r="F38" i="5"/>
  <c r="H38" i="5"/>
  <c r="E39" i="5"/>
  <c r="G37" i="4"/>
  <c r="N37" i="4" s="1"/>
  <c r="O37" i="4" s="1"/>
  <c r="P37" i="4" s="1"/>
  <c r="F38" i="4"/>
  <c r="H38" i="4"/>
  <c r="E39" i="4"/>
  <c r="G37" i="3"/>
  <c r="N37" i="3" s="1"/>
  <c r="O37" i="3"/>
  <c r="P37" i="3" s="1"/>
  <c r="F38" i="3"/>
  <c r="H38" i="3"/>
  <c r="E39" i="3"/>
  <c r="G38" i="5" l="1"/>
  <c r="N38" i="5" s="1"/>
  <c r="O38" i="5" s="1"/>
  <c r="P38" i="5" s="1"/>
  <c r="F39" i="5"/>
  <c r="H39" i="5"/>
  <c r="E40" i="5"/>
  <c r="G38" i="4"/>
  <c r="N38" i="4" s="1"/>
  <c r="O38" i="4"/>
  <c r="P38" i="4" s="1"/>
  <c r="F39" i="4"/>
  <c r="H39" i="4"/>
  <c r="E40" i="4"/>
  <c r="G38" i="3"/>
  <c r="N38" i="3" s="1"/>
  <c r="O38" i="3"/>
  <c r="P38" i="3" s="1"/>
  <c r="F39" i="3"/>
  <c r="H39" i="3"/>
  <c r="E40" i="3"/>
  <c r="G39" i="5" l="1"/>
  <c r="N39" i="5" s="1"/>
  <c r="O39" i="5" s="1"/>
  <c r="P39" i="5" s="1"/>
  <c r="F40" i="5"/>
  <c r="H40" i="5"/>
  <c r="E41" i="5"/>
  <c r="G39" i="4"/>
  <c r="N39" i="4" s="1"/>
  <c r="O39" i="4" s="1"/>
  <c r="P39" i="4" s="1"/>
  <c r="F40" i="4"/>
  <c r="H40" i="4"/>
  <c r="E41" i="4"/>
  <c r="G39" i="3"/>
  <c r="N39" i="3" s="1"/>
  <c r="O39" i="3" s="1"/>
  <c r="P39" i="3" s="1"/>
  <c r="F40" i="3"/>
  <c r="H40" i="3"/>
  <c r="E41" i="3"/>
  <c r="J19" i="1" l="1"/>
  <c r="G40" i="5"/>
  <c r="N40" i="5" s="1"/>
  <c r="O40" i="5" s="1"/>
  <c r="P40" i="5" s="1"/>
  <c r="F41" i="5"/>
  <c r="H41" i="5"/>
  <c r="E42" i="5"/>
  <c r="G19" i="1"/>
  <c r="G40" i="4"/>
  <c r="N40" i="4" s="1"/>
  <c r="O40" i="4" s="1"/>
  <c r="P40" i="4" s="1"/>
  <c r="F41" i="4"/>
  <c r="H41" i="4"/>
  <c r="E42" i="4"/>
  <c r="D19" i="1"/>
  <c r="G40" i="3"/>
  <c r="N40" i="3" s="1"/>
  <c r="O40" i="3" s="1"/>
  <c r="P40" i="3" s="1"/>
  <c r="F41" i="3"/>
  <c r="H41" i="3"/>
  <c r="E42" i="3"/>
  <c r="G41" i="5" l="1"/>
  <c r="N41" i="5" s="1"/>
  <c r="O41" i="5" s="1"/>
  <c r="P41" i="5" s="1"/>
  <c r="F42" i="5"/>
  <c r="H42" i="5"/>
  <c r="E43" i="5"/>
  <c r="G41" i="4"/>
  <c r="N41" i="4" s="1"/>
  <c r="O41" i="4" s="1"/>
  <c r="P41" i="4" s="1"/>
  <c r="F42" i="4"/>
  <c r="H42" i="4"/>
  <c r="E43" i="4"/>
  <c r="G41" i="3"/>
  <c r="N41" i="3" s="1"/>
  <c r="O41" i="3" s="1"/>
  <c r="P41" i="3" s="1"/>
  <c r="F42" i="3"/>
  <c r="H42" i="3"/>
  <c r="E43" i="3"/>
  <c r="G42" i="5" l="1"/>
  <c r="N42" i="5" s="1"/>
  <c r="O42" i="5" s="1"/>
  <c r="P42" i="5" s="1"/>
  <c r="F43" i="5"/>
  <c r="H43" i="5"/>
  <c r="E44" i="5"/>
  <c r="G42" i="4"/>
  <c r="N42" i="4" s="1"/>
  <c r="O42" i="4" s="1"/>
  <c r="P42" i="4" s="1"/>
  <c r="F43" i="4"/>
  <c r="H43" i="4"/>
  <c r="E44" i="4"/>
  <c r="G42" i="3"/>
  <c r="N42" i="3" s="1"/>
  <c r="O42" i="3" s="1"/>
  <c r="P42" i="3" s="1"/>
  <c r="F43" i="3"/>
  <c r="H43" i="3"/>
  <c r="E44" i="3"/>
  <c r="G43" i="5" l="1"/>
  <c r="N43" i="5" s="1"/>
  <c r="O43" i="5"/>
  <c r="P43" i="5" s="1"/>
  <c r="F44" i="5"/>
  <c r="H44" i="5"/>
  <c r="E45" i="5"/>
  <c r="G43" i="4"/>
  <c r="N43" i="4" s="1"/>
  <c r="O43" i="4"/>
  <c r="P43" i="4" s="1"/>
  <c r="F44" i="4"/>
  <c r="H44" i="4"/>
  <c r="E45" i="4"/>
  <c r="G43" i="3"/>
  <c r="N43" i="3" s="1"/>
  <c r="O43" i="3"/>
  <c r="P43" i="3" s="1"/>
  <c r="F44" i="3"/>
  <c r="H44" i="3"/>
  <c r="E45" i="3"/>
  <c r="G44" i="5" l="1"/>
  <c r="N44" i="5" s="1"/>
  <c r="O44" i="5" s="1"/>
  <c r="P44" i="5" s="1"/>
  <c r="F45" i="5"/>
  <c r="H45" i="5"/>
  <c r="E46" i="5"/>
  <c r="G44" i="4"/>
  <c r="N44" i="4" s="1"/>
  <c r="O44" i="4" s="1"/>
  <c r="P44" i="4" s="1"/>
  <c r="F45" i="4"/>
  <c r="H45" i="4"/>
  <c r="E46" i="4"/>
  <c r="G44" i="3"/>
  <c r="N44" i="3" s="1"/>
  <c r="O44" i="3"/>
  <c r="P44" i="3" s="1"/>
  <c r="F45" i="3"/>
  <c r="H45" i="3"/>
  <c r="E46" i="3"/>
  <c r="G45" i="5" l="1"/>
  <c r="N45" i="5" s="1"/>
  <c r="O45" i="5" s="1"/>
  <c r="P45" i="5" s="1"/>
  <c r="F46" i="5"/>
  <c r="H46" i="5"/>
  <c r="E47" i="5"/>
  <c r="G45" i="4"/>
  <c r="N45" i="4" s="1"/>
  <c r="O45" i="4"/>
  <c r="P45" i="4" s="1"/>
  <c r="F46" i="4"/>
  <c r="H46" i="4"/>
  <c r="E47" i="4"/>
  <c r="G45" i="3"/>
  <c r="N45" i="3" s="1"/>
  <c r="O45" i="3" s="1"/>
  <c r="P45" i="3" s="1"/>
  <c r="F46" i="3"/>
  <c r="H46" i="3"/>
  <c r="E47" i="3"/>
  <c r="G46" i="5" l="1"/>
  <c r="N46" i="5" s="1"/>
  <c r="O46" i="5"/>
  <c r="P46" i="5" s="1"/>
  <c r="F47" i="5"/>
  <c r="H47" i="5"/>
  <c r="E48" i="5"/>
  <c r="G46" i="4"/>
  <c r="N46" i="4" s="1"/>
  <c r="O46" i="4" s="1"/>
  <c r="P46" i="4" s="1"/>
  <c r="F47" i="4"/>
  <c r="H47" i="4"/>
  <c r="E48" i="4"/>
  <c r="G46" i="3"/>
  <c r="N46" i="3" s="1"/>
  <c r="O46" i="3"/>
  <c r="P46" i="3" s="1"/>
  <c r="F47" i="3"/>
  <c r="H47" i="3"/>
  <c r="E48" i="3"/>
  <c r="G47" i="5" l="1"/>
  <c r="N47" i="5" s="1"/>
  <c r="O47" i="5" s="1"/>
  <c r="P47" i="5" s="1"/>
  <c r="F48" i="5"/>
  <c r="H48" i="5"/>
  <c r="E49" i="5"/>
  <c r="G47" i="4"/>
  <c r="N47" i="4" s="1"/>
  <c r="O47" i="4" s="1"/>
  <c r="P47" i="4" s="1"/>
  <c r="F48" i="4"/>
  <c r="H48" i="4"/>
  <c r="E49" i="4"/>
  <c r="G47" i="3"/>
  <c r="N47" i="3" s="1"/>
  <c r="O47" i="3"/>
  <c r="P47" i="3" s="1"/>
  <c r="F48" i="3"/>
  <c r="H48" i="3"/>
  <c r="E49" i="3"/>
  <c r="G48" i="5" l="1"/>
  <c r="N48" i="5" s="1"/>
  <c r="O48" i="5"/>
  <c r="P48" i="5" s="1"/>
  <c r="F49" i="5"/>
  <c r="H49" i="5"/>
  <c r="E50" i="5"/>
  <c r="G48" i="4"/>
  <c r="N48" i="4" s="1"/>
  <c r="O48" i="4" s="1"/>
  <c r="P48" i="4" s="1"/>
  <c r="F49" i="4"/>
  <c r="H49" i="4"/>
  <c r="E50" i="4"/>
  <c r="G48" i="3"/>
  <c r="N48" i="3" s="1"/>
  <c r="O48" i="3"/>
  <c r="P48" i="3" s="1"/>
  <c r="E50" i="3"/>
  <c r="F49" i="3"/>
  <c r="H49" i="3"/>
  <c r="G49" i="5" l="1"/>
  <c r="N49" i="5" s="1"/>
  <c r="O49" i="5"/>
  <c r="P49" i="5" s="1"/>
  <c r="F50" i="5"/>
  <c r="H50" i="5"/>
  <c r="E51" i="5"/>
  <c r="G49" i="4"/>
  <c r="N49" i="4" s="1"/>
  <c r="O49" i="4"/>
  <c r="P49" i="4" s="1"/>
  <c r="F50" i="4"/>
  <c r="H50" i="4"/>
  <c r="E51" i="4"/>
  <c r="H50" i="3"/>
  <c r="E51" i="3"/>
  <c r="F50" i="3"/>
  <c r="G49" i="3"/>
  <c r="N49" i="3" s="1"/>
  <c r="O49" i="3" s="1"/>
  <c r="P49" i="3" s="1"/>
  <c r="G50" i="5" l="1"/>
  <c r="N50" i="5" s="1"/>
  <c r="O50" i="5"/>
  <c r="P50" i="5" s="1"/>
  <c r="F51" i="5"/>
  <c r="H51" i="5"/>
  <c r="E52" i="5"/>
  <c r="G50" i="4"/>
  <c r="N50" i="4" s="1"/>
  <c r="O50" i="4"/>
  <c r="P50" i="4" s="1"/>
  <c r="F51" i="4"/>
  <c r="H51" i="4"/>
  <c r="E52" i="4"/>
  <c r="F51" i="3"/>
  <c r="H51" i="3"/>
  <c r="E52" i="3"/>
  <c r="G50" i="3"/>
  <c r="N50" i="3" s="1"/>
  <c r="O50" i="3" s="1"/>
  <c r="P50" i="3" s="1"/>
  <c r="G51" i="5" l="1"/>
  <c r="N51" i="5" s="1"/>
  <c r="O51" i="5" s="1"/>
  <c r="P51" i="5" s="1"/>
  <c r="F52" i="5"/>
  <c r="H52" i="5"/>
  <c r="E53" i="5"/>
  <c r="G51" i="4"/>
  <c r="N51" i="4" s="1"/>
  <c r="O51" i="4" s="1"/>
  <c r="P51" i="4" s="1"/>
  <c r="F52" i="4"/>
  <c r="H52" i="4"/>
  <c r="E53" i="4"/>
  <c r="G51" i="3"/>
  <c r="N51" i="3" s="1"/>
  <c r="O51" i="3" s="1"/>
  <c r="P51" i="3" s="1"/>
  <c r="F52" i="3"/>
  <c r="H52" i="3"/>
  <c r="E53" i="3"/>
  <c r="J20" i="1" l="1"/>
  <c r="G52" i="5"/>
  <c r="N52" i="5" s="1"/>
  <c r="O52" i="5" s="1"/>
  <c r="P52" i="5" s="1"/>
  <c r="F53" i="5"/>
  <c r="H53" i="5"/>
  <c r="E54" i="5"/>
  <c r="G20" i="1"/>
  <c r="G52" i="4"/>
  <c r="N52" i="4" s="1"/>
  <c r="O52" i="4"/>
  <c r="P52" i="4" s="1"/>
  <c r="F53" i="4"/>
  <c r="H53" i="4"/>
  <c r="E54" i="4"/>
  <c r="D20" i="1"/>
  <c r="G52" i="3"/>
  <c r="N52" i="3" s="1"/>
  <c r="O52" i="3" s="1"/>
  <c r="P52" i="3" s="1"/>
  <c r="F53" i="3"/>
  <c r="H53" i="3"/>
  <c r="E54" i="3"/>
  <c r="G53" i="5" l="1"/>
  <c r="N53" i="5" s="1"/>
  <c r="O53" i="5"/>
  <c r="P53" i="5" s="1"/>
  <c r="F54" i="5"/>
  <c r="H54" i="5"/>
  <c r="E55" i="5"/>
  <c r="G53" i="4"/>
  <c r="N53" i="4" s="1"/>
  <c r="O53" i="4"/>
  <c r="P53" i="4" s="1"/>
  <c r="F54" i="4"/>
  <c r="H54" i="4"/>
  <c r="E55" i="4"/>
  <c r="G53" i="3"/>
  <c r="N53" i="3" s="1"/>
  <c r="O53" i="3" s="1"/>
  <c r="P53" i="3" s="1"/>
  <c r="F54" i="3"/>
  <c r="H54" i="3"/>
  <c r="E55" i="3"/>
  <c r="G54" i="5" l="1"/>
  <c r="N54" i="5" s="1"/>
  <c r="O54" i="5"/>
  <c r="P54" i="5" s="1"/>
  <c r="F55" i="5"/>
  <c r="H55" i="5"/>
  <c r="E56" i="5"/>
  <c r="G54" i="4"/>
  <c r="N54" i="4" s="1"/>
  <c r="O54" i="4" s="1"/>
  <c r="P54" i="4" s="1"/>
  <c r="F55" i="4"/>
  <c r="H55" i="4"/>
  <c r="E56" i="4"/>
  <c r="G54" i="3"/>
  <c r="N54" i="3" s="1"/>
  <c r="O54" i="3"/>
  <c r="P54" i="3" s="1"/>
  <c r="F55" i="3"/>
  <c r="H55" i="3"/>
  <c r="E56" i="3"/>
  <c r="G55" i="5" l="1"/>
  <c r="N55" i="5" s="1"/>
  <c r="O55" i="5" s="1"/>
  <c r="P55" i="5" s="1"/>
  <c r="F56" i="5"/>
  <c r="H56" i="5"/>
  <c r="E57" i="5"/>
  <c r="G55" i="4"/>
  <c r="N55" i="4" s="1"/>
  <c r="O55" i="4"/>
  <c r="P55" i="4" s="1"/>
  <c r="F56" i="4"/>
  <c r="H56" i="4"/>
  <c r="E57" i="4"/>
  <c r="G55" i="3"/>
  <c r="N55" i="3" s="1"/>
  <c r="O55" i="3" s="1"/>
  <c r="P55" i="3" s="1"/>
  <c r="F56" i="3"/>
  <c r="H56" i="3"/>
  <c r="E57" i="3"/>
  <c r="G56" i="5" l="1"/>
  <c r="N56" i="5" s="1"/>
  <c r="O56" i="5" s="1"/>
  <c r="P56" i="5" s="1"/>
  <c r="F57" i="5"/>
  <c r="H57" i="5"/>
  <c r="E58" i="5"/>
  <c r="G56" i="4"/>
  <c r="N56" i="4" s="1"/>
  <c r="O56" i="4"/>
  <c r="P56" i="4" s="1"/>
  <c r="F57" i="4"/>
  <c r="H57" i="4"/>
  <c r="E58" i="4"/>
  <c r="G56" i="3"/>
  <c r="N56" i="3" s="1"/>
  <c r="O56" i="3"/>
  <c r="P56" i="3" s="1"/>
  <c r="H57" i="3"/>
  <c r="F57" i="3"/>
  <c r="E58" i="3"/>
  <c r="G57" i="5" l="1"/>
  <c r="N57" i="5" s="1"/>
  <c r="O57" i="5"/>
  <c r="P57" i="5" s="1"/>
  <c r="F58" i="5"/>
  <c r="H58" i="5"/>
  <c r="E59" i="5"/>
  <c r="G57" i="4"/>
  <c r="N57" i="4" s="1"/>
  <c r="O57" i="4" s="1"/>
  <c r="P57" i="4" s="1"/>
  <c r="F58" i="4"/>
  <c r="H58" i="4"/>
  <c r="E59" i="4"/>
  <c r="G57" i="3"/>
  <c r="N57" i="3" s="1"/>
  <c r="O57" i="3"/>
  <c r="P57" i="3" s="1"/>
  <c r="F58" i="3"/>
  <c r="H58" i="3"/>
  <c r="E59" i="3"/>
  <c r="G58" i="5" l="1"/>
  <c r="N58" i="5" s="1"/>
  <c r="O58" i="5"/>
  <c r="P58" i="5" s="1"/>
  <c r="F59" i="5"/>
  <c r="H59" i="5"/>
  <c r="E60" i="5"/>
  <c r="G58" i="4"/>
  <c r="N58" i="4" s="1"/>
  <c r="O58" i="4"/>
  <c r="P58" i="4" s="1"/>
  <c r="F59" i="4"/>
  <c r="H59" i="4"/>
  <c r="E60" i="4"/>
  <c r="G58" i="3"/>
  <c r="N58" i="3" s="1"/>
  <c r="O58" i="3" s="1"/>
  <c r="P58" i="3" s="1"/>
  <c r="F59" i="3"/>
  <c r="H59" i="3"/>
  <c r="E60" i="3"/>
  <c r="G59" i="5" l="1"/>
  <c r="N59" i="5" s="1"/>
  <c r="O59" i="5" s="1"/>
  <c r="P59" i="5" s="1"/>
  <c r="F60" i="5"/>
  <c r="H60" i="5"/>
  <c r="E61" i="5"/>
  <c r="G59" i="4"/>
  <c r="N59" i="4" s="1"/>
  <c r="O59" i="4"/>
  <c r="P59" i="4" s="1"/>
  <c r="F60" i="4"/>
  <c r="H60" i="4"/>
  <c r="E61" i="4"/>
  <c r="G59" i="3"/>
  <c r="N59" i="3" s="1"/>
  <c r="O59" i="3"/>
  <c r="P59" i="3" s="1"/>
  <c r="H60" i="3"/>
  <c r="E61" i="3"/>
  <c r="F60" i="3"/>
  <c r="G60" i="5" l="1"/>
  <c r="N60" i="5" s="1"/>
  <c r="O60" i="5" s="1"/>
  <c r="P60" i="5" s="1"/>
  <c r="F61" i="5"/>
  <c r="H61" i="5"/>
  <c r="E62" i="5"/>
  <c r="G60" i="4"/>
  <c r="N60" i="4" s="1"/>
  <c r="O60" i="4"/>
  <c r="P60" i="4" s="1"/>
  <c r="F61" i="4"/>
  <c r="H61" i="4"/>
  <c r="E62" i="4"/>
  <c r="F61" i="3"/>
  <c r="H61" i="3"/>
  <c r="E62" i="3"/>
  <c r="G60" i="3"/>
  <c r="N60" i="3" s="1"/>
  <c r="O60" i="3" s="1"/>
  <c r="P60" i="3" s="1"/>
  <c r="G61" i="5" l="1"/>
  <c r="N61" i="5" s="1"/>
  <c r="O61" i="5"/>
  <c r="P61" i="5" s="1"/>
  <c r="F62" i="5"/>
  <c r="H62" i="5"/>
  <c r="E63" i="5"/>
  <c r="G61" i="4"/>
  <c r="N61" i="4" s="1"/>
  <c r="O61" i="4" s="1"/>
  <c r="P61" i="4" s="1"/>
  <c r="F62" i="4"/>
  <c r="H62" i="4"/>
  <c r="E63" i="4"/>
  <c r="G61" i="3"/>
  <c r="N61" i="3" s="1"/>
  <c r="O61" i="3" s="1"/>
  <c r="P61" i="3" s="1"/>
  <c r="F62" i="3"/>
  <c r="H62" i="3"/>
  <c r="E63" i="3"/>
  <c r="G62" i="5" l="1"/>
  <c r="N62" i="5" s="1"/>
  <c r="O62" i="5" s="1"/>
  <c r="P62" i="5" s="1"/>
  <c r="F63" i="5"/>
  <c r="H63" i="5"/>
  <c r="E64" i="5"/>
  <c r="G62" i="4"/>
  <c r="N62" i="4" s="1"/>
  <c r="O62" i="4"/>
  <c r="P62" i="4" s="1"/>
  <c r="F63" i="4"/>
  <c r="H63" i="4"/>
  <c r="E64" i="4"/>
  <c r="G62" i="3"/>
  <c r="N62" i="3" s="1"/>
  <c r="O62" i="3" s="1"/>
  <c r="P62" i="3" s="1"/>
  <c r="F63" i="3"/>
  <c r="H63" i="3"/>
  <c r="E64" i="3"/>
  <c r="G63" i="5" l="1"/>
  <c r="N63" i="5" s="1"/>
  <c r="O63" i="5" s="1"/>
  <c r="P63" i="5" s="1"/>
  <c r="F64" i="5"/>
  <c r="H64" i="5"/>
  <c r="E65" i="5"/>
  <c r="G63" i="4"/>
  <c r="N63" i="4" s="1"/>
  <c r="O63" i="4" s="1"/>
  <c r="P63" i="4" s="1"/>
  <c r="F64" i="4"/>
  <c r="H64" i="4"/>
  <c r="E65" i="4"/>
  <c r="G63" i="3"/>
  <c r="N63" i="3" s="1"/>
  <c r="O63" i="3" s="1"/>
  <c r="P63" i="3" s="1"/>
  <c r="F64" i="3"/>
  <c r="H64" i="3"/>
  <c r="E65" i="3"/>
  <c r="J21" i="1" l="1"/>
  <c r="G64" i="5"/>
  <c r="N64" i="5" s="1"/>
  <c r="O64" i="5" s="1"/>
  <c r="P64" i="5" s="1"/>
  <c r="F65" i="5"/>
  <c r="H65" i="5"/>
  <c r="E66" i="5"/>
  <c r="G21" i="1"/>
  <c r="G64" i="4"/>
  <c r="N64" i="4" s="1"/>
  <c r="O64" i="4" s="1"/>
  <c r="P64" i="4" s="1"/>
  <c r="F65" i="4"/>
  <c r="H65" i="4"/>
  <c r="E66" i="4"/>
  <c r="D21" i="1"/>
  <c r="G64" i="3"/>
  <c r="N64" i="3" s="1"/>
  <c r="O64" i="3"/>
  <c r="P64" i="3" s="1"/>
  <c r="F65" i="3"/>
  <c r="H65" i="3"/>
  <c r="E66" i="3"/>
  <c r="G65" i="5" l="1"/>
  <c r="N65" i="5" s="1"/>
  <c r="O65" i="5"/>
  <c r="P65" i="5" s="1"/>
  <c r="F66" i="5"/>
  <c r="H66" i="5"/>
  <c r="E67" i="5"/>
  <c r="G65" i="4"/>
  <c r="N65" i="4" s="1"/>
  <c r="O65" i="4" s="1"/>
  <c r="P65" i="4" s="1"/>
  <c r="F66" i="4"/>
  <c r="H66" i="4"/>
  <c r="E67" i="4"/>
  <c r="G65" i="3"/>
  <c r="N65" i="3" s="1"/>
  <c r="O65" i="3" s="1"/>
  <c r="P65" i="3" s="1"/>
  <c r="F66" i="3"/>
  <c r="H66" i="3"/>
  <c r="E67" i="3"/>
  <c r="G66" i="5" l="1"/>
  <c r="N66" i="5" s="1"/>
  <c r="O66" i="5" s="1"/>
  <c r="P66" i="5" s="1"/>
  <c r="F67" i="5"/>
  <c r="H67" i="5"/>
  <c r="E68" i="5"/>
  <c r="G66" i="4"/>
  <c r="N66" i="4" s="1"/>
  <c r="O66" i="4" s="1"/>
  <c r="P66" i="4" s="1"/>
  <c r="F67" i="4"/>
  <c r="E68" i="4"/>
  <c r="H67" i="4"/>
  <c r="G66" i="3"/>
  <c r="N66" i="3" s="1"/>
  <c r="O66" i="3"/>
  <c r="P66" i="3" s="1"/>
  <c r="F67" i="3"/>
  <c r="H67" i="3"/>
  <c r="E68" i="3"/>
  <c r="G67" i="5" l="1"/>
  <c r="N67" i="5" s="1"/>
  <c r="O67" i="5" s="1"/>
  <c r="P67" i="5" s="1"/>
  <c r="F68" i="5"/>
  <c r="H68" i="5"/>
  <c r="E69" i="5"/>
  <c r="G67" i="4"/>
  <c r="N67" i="4" s="1"/>
  <c r="O67" i="4" s="1"/>
  <c r="P67" i="4" s="1"/>
  <c r="F68" i="4"/>
  <c r="H68" i="4"/>
  <c r="E69" i="4"/>
  <c r="G67" i="3"/>
  <c r="N67" i="3" s="1"/>
  <c r="O67" i="3" s="1"/>
  <c r="P67" i="3" s="1"/>
  <c r="F68" i="3"/>
  <c r="H68" i="3"/>
  <c r="E69" i="3"/>
  <c r="G68" i="5" l="1"/>
  <c r="N68" i="5" s="1"/>
  <c r="O68" i="5"/>
  <c r="P68" i="5" s="1"/>
  <c r="F69" i="5"/>
  <c r="H69" i="5"/>
  <c r="E70" i="5"/>
  <c r="G68" i="4"/>
  <c r="N68" i="4" s="1"/>
  <c r="O68" i="4"/>
  <c r="P68" i="4" s="1"/>
  <c r="F69" i="4"/>
  <c r="H69" i="4"/>
  <c r="E70" i="4"/>
  <c r="G68" i="3"/>
  <c r="N68" i="3" s="1"/>
  <c r="O68" i="3" s="1"/>
  <c r="P68" i="3" s="1"/>
  <c r="F69" i="3"/>
  <c r="H69" i="3"/>
  <c r="E70" i="3"/>
  <c r="G69" i="5" l="1"/>
  <c r="N69" i="5" s="1"/>
  <c r="O69" i="5" s="1"/>
  <c r="P69" i="5" s="1"/>
  <c r="F70" i="5"/>
  <c r="H70" i="5"/>
  <c r="E71" i="5"/>
  <c r="G69" i="4"/>
  <c r="N69" i="4" s="1"/>
  <c r="O69" i="4" s="1"/>
  <c r="P69" i="4" s="1"/>
  <c r="F70" i="4"/>
  <c r="H70" i="4"/>
  <c r="E71" i="4"/>
  <c r="G69" i="3"/>
  <c r="N69" i="3" s="1"/>
  <c r="O69" i="3" s="1"/>
  <c r="P69" i="3" s="1"/>
  <c r="F70" i="3"/>
  <c r="H70" i="3"/>
  <c r="E71" i="3"/>
  <c r="G70" i="5" l="1"/>
  <c r="N70" i="5" s="1"/>
  <c r="O70" i="5" s="1"/>
  <c r="P70" i="5" s="1"/>
  <c r="F71" i="5"/>
  <c r="H71" i="5"/>
  <c r="E72" i="5"/>
  <c r="G70" i="4"/>
  <c r="N70" i="4" s="1"/>
  <c r="O70" i="4"/>
  <c r="P70" i="4" s="1"/>
  <c r="F71" i="4"/>
  <c r="H71" i="4"/>
  <c r="E72" i="4"/>
  <c r="G70" i="3"/>
  <c r="N70" i="3" s="1"/>
  <c r="O70" i="3" s="1"/>
  <c r="P70" i="3" s="1"/>
  <c r="F71" i="3"/>
  <c r="H71" i="3"/>
  <c r="E72" i="3"/>
  <c r="G71" i="5" l="1"/>
  <c r="N71" i="5" s="1"/>
  <c r="O71" i="5" s="1"/>
  <c r="P71" i="5" s="1"/>
  <c r="F72" i="5"/>
  <c r="H72" i="5"/>
  <c r="E73" i="5"/>
  <c r="G71" i="4"/>
  <c r="N71" i="4" s="1"/>
  <c r="O71" i="4"/>
  <c r="P71" i="4" s="1"/>
  <c r="F72" i="4"/>
  <c r="H72" i="4"/>
  <c r="E73" i="4"/>
  <c r="G71" i="3"/>
  <c r="N71" i="3" s="1"/>
  <c r="O71" i="3" s="1"/>
  <c r="P71" i="3" s="1"/>
  <c r="F72" i="3"/>
  <c r="H72" i="3"/>
  <c r="E73" i="3"/>
  <c r="G72" i="5" l="1"/>
  <c r="N72" i="5" s="1"/>
  <c r="O72" i="5"/>
  <c r="P72" i="5" s="1"/>
  <c r="F73" i="5"/>
  <c r="H73" i="5"/>
  <c r="E74" i="5"/>
  <c r="G72" i="4"/>
  <c r="N72" i="4" s="1"/>
  <c r="O72" i="4" s="1"/>
  <c r="P72" i="4" s="1"/>
  <c r="F73" i="4"/>
  <c r="H73" i="4"/>
  <c r="E74" i="4"/>
  <c r="G72" i="3"/>
  <c r="N72" i="3" s="1"/>
  <c r="O72" i="3"/>
  <c r="P72" i="3" s="1"/>
  <c r="F73" i="3"/>
  <c r="H73" i="3"/>
  <c r="E74" i="3"/>
  <c r="G73" i="5" l="1"/>
  <c r="N73" i="5" s="1"/>
  <c r="O73" i="5"/>
  <c r="P73" i="5" s="1"/>
  <c r="F74" i="5"/>
  <c r="H74" i="5"/>
  <c r="E75" i="5"/>
  <c r="G73" i="4"/>
  <c r="N73" i="4" s="1"/>
  <c r="O73" i="4"/>
  <c r="P73" i="4" s="1"/>
  <c r="F74" i="4"/>
  <c r="H74" i="4"/>
  <c r="E75" i="4"/>
  <c r="G73" i="3"/>
  <c r="N73" i="3" s="1"/>
  <c r="O73" i="3" s="1"/>
  <c r="P73" i="3" s="1"/>
  <c r="F74" i="3"/>
  <c r="H74" i="3"/>
  <c r="E75" i="3"/>
  <c r="G74" i="5" l="1"/>
  <c r="N74" i="5" s="1"/>
  <c r="O74" i="5"/>
  <c r="P74" i="5" s="1"/>
  <c r="F75" i="5"/>
  <c r="H75" i="5"/>
  <c r="D10" i="1"/>
  <c r="G74" i="4"/>
  <c r="N74" i="4" s="1"/>
  <c r="O74" i="4" s="1"/>
  <c r="P74" i="4" s="1"/>
  <c r="F75" i="4"/>
  <c r="H75" i="4"/>
  <c r="C10" i="1"/>
  <c r="G74" i="3"/>
  <c r="N74" i="3" s="1"/>
  <c r="O74" i="3" s="1"/>
  <c r="P74" i="3" s="1"/>
  <c r="F75" i="3"/>
  <c r="H75" i="3"/>
  <c r="B10" i="1"/>
  <c r="H22" i="1" l="1"/>
  <c r="H21" i="1"/>
  <c r="H20" i="1"/>
  <c r="H19" i="1"/>
  <c r="H18" i="1"/>
  <c r="H17" i="1"/>
  <c r="G75" i="5"/>
  <c r="N75" i="5" s="1"/>
  <c r="O75" i="5" s="1"/>
  <c r="D11" i="1"/>
  <c r="E22" i="1"/>
  <c r="E21" i="1"/>
  <c r="E20" i="1"/>
  <c r="E19" i="1"/>
  <c r="E18" i="1"/>
  <c r="E17" i="1"/>
  <c r="G75" i="4"/>
  <c r="N75" i="4" s="1"/>
  <c r="O75" i="4" s="1"/>
  <c r="C11" i="1"/>
  <c r="B22" i="1"/>
  <c r="B21" i="1"/>
  <c r="B20" i="1"/>
  <c r="B19" i="1"/>
  <c r="B18" i="1"/>
  <c r="B17" i="1"/>
  <c r="G75" i="3"/>
  <c r="N75" i="3" s="1"/>
  <c r="O75" i="3" s="1"/>
  <c r="B11" i="1"/>
  <c r="I22" i="1" l="1"/>
  <c r="I21" i="1"/>
  <c r="I20" i="1"/>
  <c r="I19" i="1"/>
  <c r="I18" i="1"/>
  <c r="I17" i="1"/>
  <c r="P75" i="5"/>
  <c r="D8" i="1"/>
  <c r="F22" i="1"/>
  <c r="F21" i="1"/>
  <c r="F20" i="1"/>
  <c r="F19" i="1"/>
  <c r="F18" i="1"/>
  <c r="F17" i="1"/>
  <c r="P75" i="4"/>
  <c r="C8" i="1"/>
  <c r="C22" i="1"/>
  <c r="C21" i="1"/>
  <c r="C20" i="1"/>
  <c r="C19" i="1"/>
  <c r="C18" i="1"/>
  <c r="C17" i="1"/>
  <c r="P75" i="3"/>
  <c r="B8" i="1"/>
  <c r="J22" i="1" l="1"/>
  <c r="D12" i="1"/>
  <c r="D7" i="1"/>
  <c r="D6" i="1"/>
  <c r="D9" i="1"/>
  <c r="G22" i="1"/>
  <c r="C12" i="1"/>
  <c r="C9" i="1"/>
  <c r="C7" i="1"/>
  <c r="C6" i="1"/>
  <c r="B7" i="1"/>
  <c r="B9" i="1"/>
  <c r="B6" i="1"/>
  <c r="B12" i="1"/>
  <c r="D22" i="1"/>
</calcChain>
</file>

<file path=xl/sharedStrings.xml><?xml version="1.0" encoding="utf-8"?>
<sst xmlns="http://schemas.openxmlformats.org/spreadsheetml/2006/main" count="170" uniqueCount="132">
  <si>
    <t>WaslaBid: how much of your own money, and when it comes back (SAR)</t>
  </si>
  <si>
    <t>Every figure is a formula over the Cashflow sheets. Change inputs on the Assumptions sheet (blue cells).</t>
  </si>
  <si>
    <t>Measure</t>
  </si>
  <si>
    <t>Lean</t>
  </si>
  <si>
    <t>Growth</t>
  </si>
  <si>
    <t>Stress</t>
  </si>
  <si>
    <t>Cash in until the first paying customer</t>
  </si>
  <si>
    <t>Most cash invested (peak)</t>
  </si>
  <si>
    <t>Month of the peak</t>
  </si>
  <si>
    <t>First month with a monthly profit</t>
  </si>
  <si>
    <t>Month all your money is back (cumulative &gt;= 0)</t>
  </si>
  <si>
    <t>Tenants at month 72</t>
  </si>
  <si>
    <t>Monthly revenue at month 72</t>
  </si>
  <si>
    <t>Cumulative cash at month 72</t>
  </si>
  <si>
    <t>By year (Year 0 = build and pilot, months 1-12)</t>
  </si>
  <si>
    <t>Year</t>
  </si>
  <si>
    <t>Lean revenue</t>
  </si>
  <si>
    <t>Lean costs</t>
  </si>
  <si>
    <t>Lean cumulative</t>
  </si>
  <si>
    <t>Growth revenue</t>
  </si>
  <si>
    <t>Growth costs</t>
  </si>
  <si>
    <t>Growth cumulative</t>
  </si>
  <si>
    <t>Stress revenue</t>
  </si>
  <si>
    <t>Stress costs</t>
  </si>
  <si>
    <t>Stress cumulative</t>
  </si>
  <si>
    <t>Year 0</t>
  </si>
  <si>
    <t>Year 1</t>
  </si>
  <si>
    <t>Year 2</t>
  </si>
  <si>
    <t>Year 3</t>
  </si>
  <si>
    <t>Year 4</t>
  </si>
  <si>
    <t>Year 5</t>
  </si>
  <si>
    <t>Angel investor calculator</t>
  </si>
  <si>
    <t>Amount raised</t>
  </si>
  <si>
    <t>Example from docs/13</t>
  </si>
  <si>
    <t>Company value before the money (pre-money)</t>
  </si>
  <si>
    <t>Example for an idea-stage company; not market data</t>
  </si>
  <si>
    <t>Company value at exit</t>
  </si>
  <si>
    <t>Midpoint of the docs/11 base case, SAR 10-20M</t>
  </si>
  <si>
    <t>Equity you give away</t>
  </si>
  <si>
    <t>Value of that equity at exit</t>
  </si>
  <si>
    <t>Cost of the angel money, as a multiple of what they paid</t>
  </si>
  <si>
    <t>WaslaBid founder investment model: assumptions (SAR)</t>
  </si>
  <si>
    <t>Legend: blue = input you can change; yellow fill = key assumption; black = formula; green = link to another sheet. All values are estimates from docs/11 and docs/13 unless a note says otherwise.</t>
  </si>
  <si>
    <t>General</t>
  </si>
  <si>
    <t>First paying customer (month number)</t>
  </si>
  <si>
    <t>Months 1-2 interviews, 3-10 build (evenings), 11 pilot tender, 12 pilot converts</t>
  </si>
  <si>
    <t>Average price per tenant per month</t>
  </si>
  <si>
    <t>Blend of SAR 1,500 / 3,500 / 7,500 tiers (docs/11 section 8)</t>
  </si>
  <si>
    <t>Partner revenue share (average across all tenants)</t>
  </si>
  <si>
    <t>20 % on referred tenants in year 1, averaged down</t>
  </si>
  <si>
    <t>Variable cost per tenant per month (AI, SMS, email)</t>
  </si>
  <si>
    <t>docs/11 unit economics</t>
  </si>
  <si>
    <t>Monthly logo churn</t>
  </si>
  <si>
    <t>About 18 % a year; global mid-market benchmark 1.5-3 % a month (Vitally)</t>
  </si>
  <si>
    <t>Contingency on pre-revenue costs</t>
  </si>
  <si>
    <t>Company set up in month (accountant starts)</t>
  </si>
  <si>
    <t>Register the company just before the pilot</t>
  </si>
  <si>
    <t>Monthly costs before the first customer</t>
  </si>
  <si>
    <t>AI coding and development tools</t>
  </si>
  <si>
    <t>Hosting (free tier, small paid fallback)</t>
  </si>
  <si>
    <t>Oracle Always Free Jeddah; paid fallback about USD 20 a month (docs/02)</t>
  </si>
  <si>
    <t>Email, workspace, small subscriptions</t>
  </si>
  <si>
    <t>Sales: interviews and pilot visits</t>
  </si>
  <si>
    <t>Accountant and e-invoicing software (from setup month)</t>
  </si>
  <si>
    <t>Monthly fixed costs after the first customer</t>
  </si>
  <si>
    <t>Hosting (small paid Saudi-region server)</t>
  </si>
  <si>
    <t>Accountant and e-invoicing software</t>
  </si>
  <si>
    <t>Sales and travel</t>
  </si>
  <si>
    <t>Domains and renewals</t>
  </si>
  <si>
    <t>One-time costs</t>
  </si>
  <si>
    <t>Item</t>
  </si>
  <si>
    <t>Month</t>
  </si>
  <si>
    <t>Amount</t>
  </si>
  <si>
    <t>Domains waslabid.com and waslabid.sa</t>
  </si>
  <si>
    <t>Trademark, 2 classes (SAIP)</t>
  </si>
  <si>
    <t>Estimate; verify SAIP fees. Can defer until the interviews pass</t>
  </si>
  <si>
    <t>Commercial registration and chamber, year 1</t>
  </si>
  <si>
    <t>CR SAR 1,200-2,000 (InCorp, secondary)</t>
  </si>
  <si>
    <t>Legal: subscription terms, privacy notice, DPA</t>
  </si>
  <si>
    <t>Estimate</t>
  </si>
  <si>
    <t>External security review before the pilot</t>
  </si>
  <si>
    <t>Estimate; optional but pilot customers ask</t>
  </si>
  <si>
    <t>Scenario levers</t>
  </si>
  <si>
    <t>Lever</t>
  </si>
  <si>
    <t>New tenants per month, months 13-24</t>
  </si>
  <si>
    <t>Lean: founder-led, about one tenant every two months at first. Growth: the docs/11 base case (3, 14, 30, 45, 52 new a year), shifted one year for the build. Stress: Lean tenants with Growth hires and marketing</t>
  </si>
  <si>
    <t>New tenants per month, months 25-36</t>
  </si>
  <si>
    <t>New tenants per month, months 37-48</t>
  </si>
  <si>
    <t>New tenants per month, months 49-60</t>
  </si>
  <si>
    <t>New tenants per month, months 61-72</t>
  </si>
  <si>
    <t>Extra marketing per month, months 13-24</t>
  </si>
  <si>
    <t>Extra marketing per month, months 25-36</t>
  </si>
  <si>
    <t>Extra marketing per month, months 37-48</t>
  </si>
  <si>
    <t>Extra marketing per month, months 49-60</t>
  </si>
  <si>
    <t>Extra marketing per month, months 61-72</t>
  </si>
  <si>
    <t>Hires (start month 999 = not hired within 72 months)</t>
  </si>
  <si>
    <t>Role</t>
  </si>
  <si>
    <t>Monthly salary</t>
  </si>
  <si>
    <t>Saudi, GOSI and insurance (1/0)</t>
  </si>
  <si>
    <t>Lean start month</t>
  </si>
  <si>
    <t>Growth start month</t>
  </si>
  <si>
    <t>Loaded monthly cost</t>
  </si>
  <si>
    <t>Customer success 1</t>
  </si>
  <si>
    <t>Salaries: senior engineer SAR 22-32k a month in Riyadh (Levels.fyi, April 2026); customer success SAR 12-18k (estimate)</t>
  </si>
  <si>
    <t>Sales 1</t>
  </si>
  <si>
    <t>Contract developer</t>
  </si>
  <si>
    <t>Customer success 2</t>
  </si>
  <si>
    <t>Senior engineer</t>
  </si>
  <si>
    <t>Customer success 3</t>
  </si>
  <si>
    <t>Sales 2</t>
  </si>
  <si>
    <t>Employer GOSI rate for a Saudi employee</t>
  </si>
  <si>
    <t>Estimate: pension 9 % + occupational hazards 2 % + SANED 0.75 %; verify with GOSI</t>
  </si>
  <si>
    <t>Medical insurance per employee per year</t>
  </si>
  <si>
    <t>Estimate; mandatory private-sector cover (CCHI)</t>
  </si>
  <si>
    <t>Not modelled: founder salary (zero), VAT (collected from customers; register above SAR 375k revenue), zakat or income tax, MISA licence if the founder is not Saudi (about SAR 60k a year).</t>
  </si>
  <si>
    <t>Cashflow Lean: monthly cash flow (SAR). All cells are formulas; change the Assumptions sheet.</t>
  </si>
  <si>
    <t>Block</t>
  </si>
  <si>
    <t>New tenants</t>
  </si>
  <si>
    <t>Tenants (end)</t>
  </si>
  <si>
    <t>Revenue</t>
  </si>
  <si>
    <t>Partner share</t>
  </si>
  <si>
    <t>Variable cost</t>
  </si>
  <si>
    <t>Fixed cost</t>
  </si>
  <si>
    <t>Extra marketing</t>
  </si>
  <si>
    <t>One-time</t>
  </si>
  <si>
    <t>Salaries (loaded)</t>
  </si>
  <si>
    <t>Contingency</t>
  </si>
  <si>
    <t>Total costs</t>
  </si>
  <si>
    <t>Net cash</t>
  </si>
  <si>
    <t>Cumulative cash</t>
  </si>
  <si>
    <t>Cashflow Growth: monthly cash flow (SAR). All cells are formulas; change the Assumptions sheet.</t>
  </si>
  <si>
    <t>Cashflow Stress: monthly cash flow (SAR). All cells are formulas; change the Assumptions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</si>
</sst>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#,##0.0;\(#,##0.0\);\-"/>
    <numFmt numFmtId="167" formatCode="0.0&quot;x&quot;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  <font>
      <sz val="11"/>
      <color rgb="FF595959"/>
      <name val="Arial"/>
    </font>
    <font>
      <b/>
      <sz val="11"/>
      <color rgb="FFFFFFFF"/>
      <name val="Arial"/>
    </font>
    <font>
      <sz val="11"/>
      <color rgb="FF008000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FF00"/>
      </patternFill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9" fillId="0" borderId="0" xfId="0" applyFont="1"/>
    <xf numFmtId="0" fontId="2" fillId="0" borderId="0" xfId="0" applyFont="1"/>
    <xf numFmtId="0" fontId="7" fillId="4" borderId="0" xfId="0" applyFont="1" applyFill="1"/>
    <xf numFmtId="0" fontId="4" fillId="0" borderId="0" xfId="0" applyFont="1"/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3" fillId="0" borderId="0" xfId="0" applyFont="1"/>
    <xf numFmtId="0" fontId="7" fillId="4" borderId="0" xfId="0" applyFont="1" applyFill="1" applyAlignment="1">
      <alignment wrapText="1"/>
    </xf>
    <xf numFmtId="164" fontId="8" fillId="0" borderId="0" xfId="0" applyNumberFormat="1" applyFont="1"/>
    <xf numFmtId="164" fontId="5" fillId="3" borderId="0" xfId="0" applyNumberFormat="1" applyFont="1" applyFill="1"/>
    <xf numFmtId="0" fontId="6" fillId="0" borderId="0" xfId="0" applyFont="1"/>
    <xf numFmtId="165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/>
    <xf numFmtId="0" fontId="3" fillId="2" borderId="0" xfId="0" applyFont="1" applyFill="1"/>
    <xf numFmtId="0" fontId="9" fillId="2" borderId="0" xfId="0" applyFont="1" applyFill="1"/>
    <xf numFmtId="1" fontId="5" fillId="3" borderId="0" xfId="0" applyNumberFormat="1" applyFont="1" applyFill="1"/>
    <xf numFmtId="165" fontId="5" fillId="0" borderId="0" xfId="0" applyNumberFormat="1" applyFont="1"/>
    <xf numFmtId="164" fontId="5" fillId="0" borderId="0" xfId="0" applyNumberFormat="1" applyFont="1"/>
    <xf numFmtId="165" fontId="5" fillId="3" borderId="0" xfId="0" applyNumberFormat="1" applyFont="1" applyFill="1"/>
    <xf numFmtId="1" fontId="5" fillId="0" borderId="0" xfId="0" applyNumberFormat="1" applyFont="1"/>
    <xf numFmtId="2" fontId="5" fillId="3" borderId="0" xfId="0" applyNumberFormat="1" applyFont="1" applyFill="1"/>
    <xf numFmtId="0" fontId="7" fillId="4" borderId="0" xfId="0" applyFont="1" applyFill="1" applyAlignment="1">
      <alignment horizontal="center" wrapText="1"/>
    </xf>
    <xf numFmtId="1" fontId="4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defaultRowHeight="14.4" x14ac:dyDescent="0.3"/>
  <cols>
    <col min="1" max="1" width="48" customWidth="1"/>
    <col min="2" max="10" width="16" customWidth="1"/>
  </cols>
  <sheetData>
    <row r="1" spans="1:1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4" t="s">
        <v>2</v>
      </c>
      <c r="B4" s="4" t="s">
        <v>3</v>
      </c>
      <c r="C4" s="4" t="s">
        <v>4</v>
      </c>
      <c r="D4" s="4" t="s">
        <v>5</v>
      </c>
      <c r="E4" s="2"/>
      <c r="F4" s="2"/>
      <c r="G4" s="2"/>
      <c r="H4" s="2"/>
      <c r="I4" s="2"/>
      <c r="J4" s="2"/>
    </row>
    <row r="5" spans="1:10" x14ac:dyDescent="0.3">
      <c r="A5" s="5" t="s">
        <v>6</v>
      </c>
      <c r="B5" s="6">
        <f>-INDEX('Cashflow Lean'!$P$4:$P$75,Assumptions!$B$5)</f>
        <v>55315</v>
      </c>
      <c r="C5" s="6">
        <f>-INDEX('Cashflow Growth'!$P$4:$P$75,Assumptions!$B$5)</f>
        <v>55315</v>
      </c>
      <c r="D5" s="6">
        <f>-INDEX('Cashflow Stress'!$P$4:$P$75,Assumptions!$B$5)</f>
        <v>55315</v>
      </c>
      <c r="E5" s="2"/>
      <c r="F5" s="2"/>
      <c r="G5" s="2"/>
      <c r="H5" s="2"/>
      <c r="I5" s="2"/>
      <c r="J5" s="2"/>
    </row>
    <row r="6" spans="1:10" x14ac:dyDescent="0.3">
      <c r="A6" s="5" t="s">
        <v>7</v>
      </c>
      <c r="B6" s="6">
        <f>-MIN('Cashflow Lean'!$P$4:$P$75)</f>
        <v>58535.475791874997</v>
      </c>
      <c r="C6" s="6">
        <f>-MIN('Cashflow Growth'!$P$4:$P$75)</f>
        <v>162703.35283884488</v>
      </c>
      <c r="D6" s="6">
        <f>-MIN('Cashflow Stress'!$P$4:$P$75)</f>
        <v>1876911.1029215693</v>
      </c>
      <c r="E6" s="2"/>
      <c r="F6" s="2"/>
      <c r="G6" s="2"/>
      <c r="H6" s="2"/>
      <c r="I6" s="2"/>
      <c r="J6" s="2"/>
    </row>
    <row r="7" spans="1:10" x14ac:dyDescent="0.3">
      <c r="A7" s="5" t="s">
        <v>8</v>
      </c>
      <c r="B7" s="7">
        <f>INDEX('Cashflow Lean'!$A$4:$A$75,MATCH(MIN('Cashflow Lean'!$P$4:$P$75),'Cashflow Lean'!$P$4:$P$75,0))</f>
        <v>15</v>
      </c>
      <c r="C7" s="7">
        <f>INDEX('Cashflow Growth'!$A$4:$A$75,MATCH(MIN('Cashflow Growth'!$P$4:$P$75),'Cashflow Growth'!$P$4:$P$75,0))</f>
        <v>42</v>
      </c>
      <c r="D7" s="7">
        <f>INDEX('Cashflow Stress'!$A$4:$A$75,MATCH(MIN('Cashflow Stress'!$P$4:$P$75),'Cashflow Stress'!$P$4:$P$75,0))</f>
        <v>72</v>
      </c>
      <c r="E7" s="2"/>
      <c r="F7" s="2"/>
      <c r="G7" s="2"/>
      <c r="H7" s="2"/>
      <c r="I7" s="2"/>
      <c r="J7" s="2"/>
    </row>
    <row r="8" spans="1:10" x14ac:dyDescent="0.3">
      <c r="A8" s="5" t="s">
        <v>9</v>
      </c>
      <c r="B8" s="7">
        <f>IF(_xlfn.MINIFS('Cashflow Lean'!$A$4:$A$75,'Cashflow Lean'!$O$4:$O$75,"&gt;0",'Cashflow Lean'!$A$4:$A$75,"&gt;"&amp;Assumptions!$B$5)=0,"after month 72",_xlfn.MINIFS('Cashflow Lean'!$A$4:$A$75,'Cashflow Lean'!$O$4:$O$75,"&gt;0",'Cashflow Lean'!$A$4:$A$75,"&gt;"&amp;Assumptions!$B$5))</f>
        <v>16</v>
      </c>
      <c r="C8" s="7">
        <f>IF(_xlfn.MINIFS('Cashflow Growth'!$A$4:$A$75,'Cashflow Growth'!$O$4:$O$75,"&gt;0",'Cashflow Growth'!$A$4:$A$75,"&gt;"&amp;Assumptions!$B$5)=0,"after month 72",_xlfn.MINIFS('Cashflow Growth'!$A$4:$A$75,'Cashflow Growth'!$O$4:$O$75,"&gt;0",'Cashflow Growth'!$A$4:$A$75,"&gt;"&amp;Assumptions!$B$5))</f>
        <v>19</v>
      </c>
      <c r="D8" s="7">
        <f>IF(_xlfn.MINIFS('Cashflow Stress'!$A$4:$A$75,'Cashflow Stress'!$O$4:$O$75,"&gt;0",'Cashflow Stress'!$A$4:$A$75,"&gt;"&amp;Assumptions!$B$5)=0,"after month 72",_xlfn.MINIFS('Cashflow Stress'!$A$4:$A$75,'Cashflow Stress'!$O$4:$O$75,"&gt;0",'Cashflow Stress'!$A$4:$A$75,"&gt;"&amp;Assumptions!$B$5))</f>
        <v>16</v>
      </c>
      <c r="E8" s="2"/>
      <c r="F8" s="2"/>
      <c r="G8" s="2"/>
      <c r="H8" s="2"/>
      <c r="I8" s="2"/>
      <c r="J8" s="2"/>
    </row>
    <row r="9" spans="1:10" x14ac:dyDescent="0.3">
      <c r="A9" s="5" t="s">
        <v>10</v>
      </c>
      <c r="B9" s="7">
        <f>IF(_xlfn.MINIFS('Cashflow Lean'!$A$4:$A$75,'Cashflow Lean'!$P$4:$P$75,"&gt;=0",'Cashflow Lean'!$A$4:$A$75,"&gt;"&amp;Assumptions!$B$5)=0,"after month 72",_xlfn.MINIFS('Cashflow Lean'!$A$4:$A$75,'Cashflow Lean'!$P$4:$P$75,"&gt;=0",'Cashflow Lean'!$A$4:$A$75,"&gt;"&amp;Assumptions!$B$5))</f>
        <v>26</v>
      </c>
      <c r="C9" s="7">
        <f>IF(_xlfn.MINIFS('Cashflow Growth'!$A$4:$A$75,'Cashflow Growth'!$P$4:$P$75,"&gt;=0",'Cashflow Growth'!$A$4:$A$75,"&gt;"&amp;Assumptions!$B$5)=0,"after month 72",_xlfn.MINIFS('Cashflow Growth'!$A$4:$A$75,'Cashflow Growth'!$P$4:$P$75,"&gt;=0",'Cashflow Growth'!$A$4:$A$75,"&gt;"&amp;Assumptions!$B$5))</f>
        <v>59</v>
      </c>
      <c r="D9" s="7" t="str">
        <f>IF(_xlfn.MINIFS('Cashflow Stress'!$A$4:$A$75,'Cashflow Stress'!$P$4:$P$75,"&gt;=0",'Cashflow Stress'!$A$4:$A$75,"&gt;"&amp;Assumptions!$B$5)=0,"after month 72",_xlfn.MINIFS('Cashflow Stress'!$A$4:$A$75,'Cashflow Stress'!$P$4:$P$75,"&gt;=0",'Cashflow Stress'!$A$4:$A$75,"&gt;"&amp;Assumptions!$B$5))</f>
        <v>after month 72</v>
      </c>
      <c r="E9" s="2"/>
      <c r="F9" s="2"/>
      <c r="G9" s="2"/>
      <c r="H9" s="2"/>
      <c r="I9" s="2"/>
      <c r="J9" s="2"/>
    </row>
    <row r="10" spans="1:10" x14ac:dyDescent="0.3">
      <c r="A10" s="5" t="s">
        <v>11</v>
      </c>
      <c r="B10" s="8">
        <f>INDEX('Cashflow Lean'!$E$4:$E$75,72)</f>
        <v>43.703879592376609</v>
      </c>
      <c r="C10" s="8">
        <f>INDEX('Cashflow Growth'!$E$4:$E$75,72)</f>
        <v>110.95477505676128</v>
      </c>
      <c r="D10" s="8">
        <f>INDEX('Cashflow Stress'!$E$4:$E$75,72)</f>
        <v>43.703879592376609</v>
      </c>
      <c r="E10" s="2"/>
      <c r="F10" s="2"/>
      <c r="G10" s="2"/>
      <c r="H10" s="2"/>
      <c r="I10" s="2"/>
      <c r="J10" s="2"/>
    </row>
    <row r="11" spans="1:10" x14ac:dyDescent="0.3">
      <c r="A11" s="5" t="s">
        <v>12</v>
      </c>
      <c r="B11" s="6">
        <f>INDEX('Cashflow Lean'!$F$4:$F$75,72)</f>
        <v>109259.69898094152</v>
      </c>
      <c r="C11" s="6">
        <f>INDEX('Cashflow Growth'!$F$4:$F$75,72)</f>
        <v>277386.93764190318</v>
      </c>
      <c r="D11" s="6">
        <f>INDEX('Cashflow Stress'!$F$4:$F$75,72)</f>
        <v>109259.69898094152</v>
      </c>
      <c r="E11" s="2"/>
      <c r="F11" s="2"/>
      <c r="G11" s="2"/>
      <c r="H11" s="2"/>
      <c r="I11" s="2"/>
      <c r="J11" s="2"/>
    </row>
    <row r="12" spans="1:10" x14ac:dyDescent="0.3">
      <c r="A12" s="5" t="s">
        <v>13</v>
      </c>
      <c r="B12" s="6">
        <f>INDEX('Cashflow Lean'!$P$4:$P$75,72)</f>
        <v>822588.89707843086</v>
      </c>
      <c r="C12" s="6">
        <f>INDEX('Cashflow Growth'!$P$4:$P$75,72)</f>
        <v>615109.70186230773</v>
      </c>
      <c r="D12" s="6">
        <f>INDEX('Cashflow Stress'!$P$4:$P$75,72)</f>
        <v>-1876911.1029215693</v>
      </c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9" t="s">
        <v>14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28.2" x14ac:dyDescent="0.3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  <c r="F16" s="10" t="s">
        <v>20</v>
      </c>
      <c r="G16" s="10" t="s">
        <v>21</v>
      </c>
      <c r="H16" s="10" t="s">
        <v>22</v>
      </c>
      <c r="I16" s="10" t="s">
        <v>23</v>
      </c>
      <c r="J16" s="10" t="s">
        <v>24</v>
      </c>
    </row>
    <row r="17" spans="1:10" x14ac:dyDescent="0.3">
      <c r="A17" s="2" t="s">
        <v>25</v>
      </c>
      <c r="B17" s="11">
        <f>SUMIF('Cashflow Lean'!$B$4:$B$75,$A17,'Cashflow Lean'!$F$4:$F$75)</f>
        <v>2500</v>
      </c>
      <c r="C17" s="11">
        <f>SUMIF('Cashflow Lean'!$B$4:$B$75,$A17,'Cashflow Lean'!$N$4:$N$75)</f>
        <v>57815</v>
      </c>
      <c r="D17" s="11">
        <f>INDEX('Cashflow Lean'!$P$4:$P$75,12)</f>
        <v>-55315</v>
      </c>
      <c r="E17" s="11">
        <f>SUMIF('Cashflow Growth'!$B$4:$B$75,$A17,'Cashflow Growth'!$F$4:$F$75)</f>
        <v>2500</v>
      </c>
      <c r="F17" s="11">
        <f>SUMIF('Cashflow Growth'!$B$4:$B$75,$A17,'Cashflow Growth'!$N$4:$N$75)</f>
        <v>57815</v>
      </c>
      <c r="G17" s="11">
        <f>INDEX('Cashflow Growth'!$P$4:$P$75,12)</f>
        <v>-55315</v>
      </c>
      <c r="H17" s="11">
        <f>SUMIF('Cashflow Stress'!$B$4:$B$75,$A17,'Cashflow Stress'!$F$4:$F$75)</f>
        <v>2500</v>
      </c>
      <c r="I17" s="11">
        <f>SUMIF('Cashflow Stress'!$B$4:$B$75,$A17,'Cashflow Stress'!$N$4:$N$75)</f>
        <v>57815</v>
      </c>
      <c r="J17" s="11">
        <f>INDEX('Cashflow Stress'!$P$4:$P$75,12)</f>
        <v>-55315</v>
      </c>
    </row>
    <row r="18" spans="1:10" x14ac:dyDescent="0.3">
      <c r="A18" s="2" t="s">
        <v>26</v>
      </c>
      <c r="B18" s="11">
        <f>SUMIF('Cashflow Lean'!$B$4:$B$75,$A18,'Cashflow Lean'!$F$4:$F$75)</f>
        <v>119563.27306272785</v>
      </c>
      <c r="C18" s="11">
        <f>SUMIF('Cashflow Lean'!$B$4:$B$75,$A18,'Cashflow Lean'!$N$4:$N$75)</f>
        <v>81290.997143910994</v>
      </c>
      <c r="D18" s="11">
        <f>INDEX('Cashflow Lean'!$P$4:$P$75,24)</f>
        <v>-17042.724081183147</v>
      </c>
      <c r="E18" s="11">
        <f>SUMIF('Cashflow Growth'!$B$4:$B$75,$A18,'Cashflow Growth'!$F$4:$F$75)</f>
        <v>73396.63746338358</v>
      </c>
      <c r="F18" s="11">
        <f>SUMIF('Cashflow Growth'!$B$4:$B$75,$A18,'Cashflow Growth'!$N$4:$N$75)</f>
        <v>73996.668719214606</v>
      </c>
      <c r="G18" s="11">
        <f>INDEX('Cashflow Growth'!$P$4:$P$75,24)</f>
        <v>-55915.031255831011</v>
      </c>
      <c r="H18" s="11">
        <f>SUMIF('Cashflow Stress'!$B$4:$B$75,$A18,'Cashflow Stress'!$F$4:$F$75)</f>
        <v>119563.27306272785</v>
      </c>
      <c r="I18" s="11">
        <f>SUMIF('Cashflow Stress'!$B$4:$B$75,$A18,'Cashflow Stress'!$N$4:$N$75)</f>
        <v>81290.997143910994</v>
      </c>
      <c r="J18" s="11">
        <f>INDEX('Cashflow Stress'!$P$4:$P$75,24)</f>
        <v>-17042.724081183147</v>
      </c>
    </row>
    <row r="19" spans="1:10" x14ac:dyDescent="0.3">
      <c r="A19" s="2" t="s">
        <v>27</v>
      </c>
      <c r="B19" s="11">
        <f>SUMIF('Cashflow Lean'!$B$4:$B$75,$A19,'Cashflow Lean'!$F$4:$F$75)</f>
        <v>311766.21555955801</v>
      </c>
      <c r="C19" s="11">
        <f>SUMIF('Cashflow Lean'!$B$4:$B$75,$A19,'Cashflow Lean'!$N$4:$N$75)</f>
        <v>111659.06205841017</v>
      </c>
      <c r="D19" s="11">
        <f>INDEX('Cashflow Lean'!$P$4:$P$75,36)</f>
        <v>183064.42941996473</v>
      </c>
      <c r="E19" s="11">
        <f>SUMIF('Cashflow Growth'!$B$4:$B$75,$A19,'Cashflow Growth'!$F$4:$F$75)</f>
        <v>314049.7165120822</v>
      </c>
      <c r="F19" s="11">
        <f>SUMIF('Cashflow Growth'!$B$4:$B$75,$A19,'Cashflow Growth'!$N$4:$N$75)</f>
        <v>342169.85520890896</v>
      </c>
      <c r="G19" s="11">
        <f>INDEX('Cashflow Growth'!$P$4:$P$75,36)</f>
        <v>-84035.169952657845</v>
      </c>
      <c r="H19" s="11">
        <f>SUMIF('Cashflow Stress'!$B$4:$B$75,$A19,'Cashflow Stress'!$F$4:$F$75)</f>
        <v>311766.21555955801</v>
      </c>
      <c r="I19" s="11">
        <f>SUMIF('Cashflow Stress'!$B$4:$B$75,$A19,'Cashflow Stress'!$N$4:$N$75)</f>
        <v>341809.0620584102</v>
      </c>
      <c r="J19" s="11">
        <f>INDEX('Cashflow Stress'!$P$4:$P$75,36)</f>
        <v>-47085.570580035281</v>
      </c>
    </row>
    <row r="20" spans="1:10" x14ac:dyDescent="0.3">
      <c r="A20" s="2" t="s">
        <v>28</v>
      </c>
      <c r="B20" s="11">
        <f>SUMIF('Cashflow Lean'!$B$4:$B$75,$A20,'Cashflow Lean'!$F$4:$F$75)</f>
        <v>555022.85013490892</v>
      </c>
      <c r="C20" s="11">
        <f>SUMIF('Cashflow Lean'!$B$4:$B$75,$A20,'Cashflow Lean'!$N$4:$N$75)</f>
        <v>356243.61032131559</v>
      </c>
      <c r="D20" s="11">
        <f>INDEX('Cashflow Lean'!$P$4:$P$75,48)</f>
        <v>381843.669233558</v>
      </c>
      <c r="E20" s="11">
        <f>SUMIF('Cashflow Growth'!$B$4:$B$75,$A20,'Cashflow Growth'!$F$4:$F$75)</f>
        <v>895696.60366197652</v>
      </c>
      <c r="F20" s="11">
        <f>SUMIF('Cashflow Growth'!$B$4:$B$75,$A20,'Cashflow Growth'!$N$4:$N$75)</f>
        <v>896450.06337859237</v>
      </c>
      <c r="G20" s="11">
        <f>INDEX('Cashflow Growth'!$P$4:$P$75,48)</f>
        <v>-84788.629669273651</v>
      </c>
      <c r="H20" s="11">
        <f>SUMIF('Cashflow Stress'!$B$4:$B$75,$A20,'Cashflow Stress'!$F$4:$F$75)</f>
        <v>555022.85013490892</v>
      </c>
      <c r="I20" s="11">
        <f>SUMIF('Cashflow Stress'!$B$4:$B$75,$A20,'Cashflow Stress'!$N$4:$N$75)</f>
        <v>842623.61032131559</v>
      </c>
      <c r="J20" s="11">
        <f>INDEX('Cashflow Stress'!$P$4:$P$75,48)</f>
        <v>-334686.33076644194</v>
      </c>
    </row>
    <row r="21" spans="1:10" x14ac:dyDescent="0.3">
      <c r="A21" s="2" t="s">
        <v>29</v>
      </c>
      <c r="B21" s="11">
        <f>SUMIF('Cashflow Lean'!$B$4:$B$75,$A21,'Cashflow Lean'!$F$4:$F$75)</f>
        <v>840865.00137478521</v>
      </c>
      <c r="C21" s="11">
        <f>SUMIF('Cashflow Lean'!$B$4:$B$75,$A21,'Cashflow Lean'!$N$4:$N$75)</f>
        <v>659786.67021721601</v>
      </c>
      <c r="D21" s="11">
        <f>INDEX('Cashflow Lean'!$P$4:$P$75,60)</f>
        <v>562922.00039112708</v>
      </c>
      <c r="E21" s="11">
        <f>SUMIF('Cashflow Growth'!$B$4:$B$75,$A21,'Cashflow Growth'!$F$4:$F$75)</f>
        <v>1807302.5073411383</v>
      </c>
      <c r="F21" s="11">
        <f>SUMIF('Cashflow Growth'!$B$4:$B$75,$A21,'Cashflow Growth'!$N$4:$N$75)</f>
        <v>1649703.7961598998</v>
      </c>
      <c r="G21" s="11">
        <f>INDEX('Cashflow Growth'!$P$4:$P$75,60)</f>
        <v>72810.08151196473</v>
      </c>
      <c r="H21" s="11">
        <f>SUMIF('Cashflow Stress'!$B$4:$B$75,$A21,'Cashflow Stress'!$F$4:$F$75)</f>
        <v>840865.00137478521</v>
      </c>
      <c r="I21" s="11">
        <f>SUMIF('Cashflow Stress'!$B$4:$B$75,$A21,'Cashflow Stress'!$N$4:$N$75)</f>
        <v>1497006.6702172162</v>
      </c>
      <c r="J21" s="11">
        <f>INDEX('Cashflow Stress'!$P$4:$P$75,60)</f>
        <v>-990827.99960887292</v>
      </c>
    </row>
    <row r="22" spans="1:10" x14ac:dyDescent="0.3">
      <c r="A22" s="2" t="s">
        <v>30</v>
      </c>
      <c r="B22" s="11">
        <f>SUMIF('Cashflow Lean'!$B$4:$B$75,$A22,'Cashflow Lean'!$F$4:$F$75)</f>
        <v>1162229.0934528548</v>
      </c>
      <c r="C22" s="11">
        <f>SUMIF('Cashflow Lean'!$B$4:$B$75,$A22,'Cashflow Lean'!$N$4:$N$75)</f>
        <v>902562.19676555111</v>
      </c>
      <c r="D22" s="11">
        <f>INDEX('Cashflow Lean'!$P$4:$P$75,72)</f>
        <v>822588.89707843086</v>
      </c>
      <c r="E22" s="11">
        <f>SUMIF('Cashflow Growth'!$B$4:$B$75,$A22,'Cashflow Growth'!$F$4:$F$75)</f>
        <v>2858645.6298697665</v>
      </c>
      <c r="F22" s="11">
        <f>SUMIF('Cashflow Growth'!$B$4:$B$75,$A22,'Cashflow Growth'!$N$4:$N$75)</f>
        <v>2316346.0095194229</v>
      </c>
      <c r="G22" s="11">
        <f>INDEX('Cashflow Growth'!$P$4:$P$75,72)</f>
        <v>615109.70186230773</v>
      </c>
      <c r="H22" s="11">
        <f>SUMIF('Cashflow Stress'!$B$4:$B$75,$A22,'Cashflow Stress'!$F$4:$F$75)</f>
        <v>1162229.0934528548</v>
      </c>
      <c r="I22" s="11">
        <f>SUMIF('Cashflow Stress'!$B$4:$B$75,$A22,'Cashflow Stress'!$N$4:$N$75)</f>
        <v>2048312.1967655511</v>
      </c>
      <c r="J22" s="11">
        <f>INDEX('Cashflow Stress'!$P$4:$P$75,72)</f>
        <v>-1876911.1029215693</v>
      </c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9" t="s">
        <v>31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 t="s">
        <v>32</v>
      </c>
      <c r="B26" s="12">
        <v>300000</v>
      </c>
      <c r="C26" s="2"/>
      <c r="D26" s="2"/>
      <c r="E26" s="13" t="s">
        <v>33</v>
      </c>
      <c r="F26" s="2"/>
      <c r="G26" s="2"/>
      <c r="H26" s="2"/>
      <c r="I26" s="2"/>
      <c r="J26" s="2"/>
    </row>
    <row r="27" spans="1:10" x14ac:dyDescent="0.3">
      <c r="A27" s="2" t="s">
        <v>34</v>
      </c>
      <c r="B27" s="12">
        <v>3000000</v>
      </c>
      <c r="C27" s="2"/>
      <c r="D27" s="2"/>
      <c r="E27" s="13" t="s">
        <v>35</v>
      </c>
      <c r="F27" s="2"/>
      <c r="G27" s="2"/>
      <c r="H27" s="2"/>
      <c r="I27" s="2"/>
      <c r="J27" s="2"/>
    </row>
    <row r="28" spans="1:10" x14ac:dyDescent="0.3">
      <c r="A28" s="2" t="s">
        <v>36</v>
      </c>
      <c r="B28" s="12">
        <v>15000000</v>
      </c>
      <c r="C28" s="2"/>
      <c r="D28" s="2"/>
      <c r="E28" s="13" t="s">
        <v>37</v>
      </c>
      <c r="F28" s="2"/>
      <c r="G28" s="2"/>
      <c r="H28" s="2"/>
      <c r="I28" s="2"/>
      <c r="J28" s="2"/>
    </row>
    <row r="29" spans="1:10" x14ac:dyDescent="0.3">
      <c r="A29" s="2" t="s">
        <v>38</v>
      </c>
      <c r="B29" s="14">
        <f>IF(B27+B26=0,0,B26/(B27+B26))</f>
        <v>9.0909090909090912E-2</v>
      </c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 t="s">
        <v>39</v>
      </c>
      <c r="B30" s="15">
        <f>B29*B28</f>
        <v>1363636.3636363638</v>
      </c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 t="s">
        <v>40</v>
      </c>
      <c r="B31" s="16">
        <f>IF(B26=0,0,B30/B26)</f>
        <v>4.5454545454545459</v>
      </c>
      <c r="C31" s="2"/>
      <c r="D31" s="2"/>
      <c r="E31" s="2"/>
      <c r="F31" s="2"/>
      <c r="G31" s="2"/>
      <c r="H31" s="2"/>
      <c r="I31" s="2"/>
      <c r="J3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"/>
  <sheetViews>
    <sheetView workbookViewId="0"/>
  </sheetViews>
  <sheetFormatPr defaultRowHeight="14.4" x14ac:dyDescent="0.3"/>
  <cols>
    <col min="1" max="1" width="52" customWidth="1"/>
    <col min="2" max="6" width="16" customWidth="1"/>
    <col min="7" max="7" width="70" customWidth="1"/>
  </cols>
  <sheetData>
    <row r="1" spans="1:7" ht="17.399999999999999" x14ac:dyDescent="0.3">
      <c r="A1" s="1" t="s">
        <v>41</v>
      </c>
      <c r="B1" s="2"/>
      <c r="C1" s="2"/>
      <c r="D1" s="2"/>
      <c r="E1" s="2"/>
      <c r="F1" s="2"/>
      <c r="G1" s="2"/>
    </row>
    <row r="2" spans="1:7" x14ac:dyDescent="0.3">
      <c r="A2" s="3" t="s">
        <v>42</v>
      </c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17" t="s">
        <v>43</v>
      </c>
      <c r="B4" s="18"/>
      <c r="C4" s="18"/>
      <c r="D4" s="18"/>
      <c r="E4" s="18"/>
      <c r="F4" s="18"/>
      <c r="G4" s="18"/>
    </row>
    <row r="5" spans="1:7" x14ac:dyDescent="0.3">
      <c r="A5" s="5" t="s">
        <v>44</v>
      </c>
      <c r="B5" s="19">
        <v>12</v>
      </c>
      <c r="C5" s="2"/>
      <c r="D5" s="2"/>
      <c r="E5" s="2"/>
      <c r="F5" s="2"/>
      <c r="G5" s="13" t="s">
        <v>45</v>
      </c>
    </row>
    <row r="6" spans="1:7" x14ac:dyDescent="0.3">
      <c r="A6" s="5" t="s">
        <v>46</v>
      </c>
      <c r="B6" s="12">
        <v>2500</v>
      </c>
      <c r="C6" s="2"/>
      <c r="D6" s="2"/>
      <c r="E6" s="2"/>
      <c r="F6" s="2"/>
      <c r="G6" s="13" t="s">
        <v>47</v>
      </c>
    </row>
    <row r="7" spans="1:7" x14ac:dyDescent="0.3">
      <c r="A7" s="5" t="s">
        <v>48</v>
      </c>
      <c r="B7" s="20">
        <v>0.1</v>
      </c>
      <c r="C7" s="2"/>
      <c r="D7" s="2"/>
      <c r="E7" s="2"/>
      <c r="F7" s="2"/>
      <c r="G7" s="13" t="s">
        <v>49</v>
      </c>
    </row>
    <row r="8" spans="1:7" x14ac:dyDescent="0.3">
      <c r="A8" s="5" t="s">
        <v>50</v>
      </c>
      <c r="B8" s="21">
        <v>145</v>
      </c>
      <c r="C8" s="2"/>
      <c r="D8" s="2"/>
      <c r="E8" s="2"/>
      <c r="F8" s="2"/>
      <c r="G8" s="13" t="s">
        <v>51</v>
      </c>
    </row>
    <row r="9" spans="1:7" x14ac:dyDescent="0.3">
      <c r="A9" s="5" t="s">
        <v>52</v>
      </c>
      <c r="B9" s="22">
        <v>1.4999999999999999E-2</v>
      </c>
      <c r="C9" s="2"/>
      <c r="D9" s="2"/>
      <c r="E9" s="2"/>
      <c r="F9" s="2"/>
      <c r="G9" s="13" t="s">
        <v>53</v>
      </c>
    </row>
    <row r="10" spans="1:7" x14ac:dyDescent="0.3">
      <c r="A10" s="5" t="s">
        <v>54</v>
      </c>
      <c r="B10" s="20">
        <v>0.1</v>
      </c>
      <c r="C10" s="2"/>
      <c r="D10" s="2"/>
      <c r="E10" s="2"/>
      <c r="F10" s="2"/>
      <c r="G10" s="2"/>
    </row>
    <row r="11" spans="1:7" x14ac:dyDescent="0.3">
      <c r="A11" s="5" t="s">
        <v>55</v>
      </c>
      <c r="B11" s="23">
        <v>9</v>
      </c>
      <c r="C11" s="2"/>
      <c r="D11" s="2"/>
      <c r="E11" s="2"/>
      <c r="F11" s="2"/>
      <c r="G11" s="13" t="s">
        <v>56</v>
      </c>
    </row>
    <row r="12" spans="1:7" x14ac:dyDescent="0.3">
      <c r="A12" s="17" t="s">
        <v>57</v>
      </c>
      <c r="B12" s="18"/>
      <c r="C12" s="18"/>
      <c r="D12" s="18"/>
      <c r="E12" s="18"/>
      <c r="F12" s="18"/>
      <c r="G12" s="18"/>
    </row>
    <row r="13" spans="1:7" x14ac:dyDescent="0.3">
      <c r="A13" s="5" t="s">
        <v>58</v>
      </c>
      <c r="B13" s="21">
        <v>750</v>
      </c>
      <c r="C13" s="2"/>
      <c r="D13" s="2"/>
      <c r="E13" s="2"/>
      <c r="F13" s="2"/>
      <c r="G13" s="2"/>
    </row>
    <row r="14" spans="1:7" x14ac:dyDescent="0.3">
      <c r="A14" s="5" t="s">
        <v>59</v>
      </c>
      <c r="B14" s="21">
        <v>100</v>
      </c>
      <c r="C14" s="2"/>
      <c r="D14" s="2"/>
      <c r="E14" s="2"/>
      <c r="F14" s="2"/>
      <c r="G14" s="13" t="s">
        <v>60</v>
      </c>
    </row>
    <row r="15" spans="1:7" x14ac:dyDescent="0.3">
      <c r="A15" s="5" t="s">
        <v>61</v>
      </c>
      <c r="B15" s="21">
        <v>150</v>
      </c>
      <c r="C15" s="2"/>
      <c r="D15" s="2"/>
      <c r="E15" s="2"/>
      <c r="F15" s="2"/>
      <c r="G15" s="2"/>
    </row>
    <row r="16" spans="1:7" x14ac:dyDescent="0.3">
      <c r="A16" s="5" t="s">
        <v>62</v>
      </c>
      <c r="B16" s="21">
        <v>600</v>
      </c>
      <c r="C16" s="2"/>
      <c r="D16" s="2"/>
      <c r="E16" s="2"/>
      <c r="F16" s="2"/>
      <c r="G16" s="2"/>
    </row>
    <row r="17" spans="1:7" x14ac:dyDescent="0.3">
      <c r="A17" s="5" t="s">
        <v>63</v>
      </c>
      <c r="B17" s="21">
        <v>900</v>
      </c>
      <c r="C17" s="2"/>
      <c r="D17" s="2"/>
      <c r="E17" s="2"/>
      <c r="F17" s="2"/>
      <c r="G17" s="2"/>
    </row>
    <row r="18" spans="1:7" x14ac:dyDescent="0.3">
      <c r="A18" s="17" t="s">
        <v>64</v>
      </c>
      <c r="B18" s="18"/>
      <c r="C18" s="18"/>
      <c r="D18" s="18"/>
      <c r="E18" s="18"/>
      <c r="F18" s="18"/>
      <c r="G18" s="18"/>
    </row>
    <row r="19" spans="1:7" x14ac:dyDescent="0.3">
      <c r="A19" s="5" t="s">
        <v>58</v>
      </c>
      <c r="B19" s="21">
        <v>750</v>
      </c>
      <c r="C19" s="2"/>
      <c r="D19" s="2"/>
      <c r="E19" s="2"/>
      <c r="F19" s="2"/>
      <c r="G19" s="2"/>
    </row>
    <row r="20" spans="1:7" x14ac:dyDescent="0.3">
      <c r="A20" s="5" t="s">
        <v>65</v>
      </c>
      <c r="B20" s="21">
        <v>300</v>
      </c>
      <c r="C20" s="2"/>
      <c r="D20" s="2"/>
      <c r="E20" s="2"/>
      <c r="F20" s="2"/>
      <c r="G20" s="2"/>
    </row>
    <row r="21" spans="1:7" x14ac:dyDescent="0.3">
      <c r="A21" s="5" t="s">
        <v>61</v>
      </c>
      <c r="B21" s="21">
        <v>150</v>
      </c>
      <c r="C21" s="2"/>
      <c r="D21" s="2"/>
      <c r="E21" s="2"/>
      <c r="F21" s="2"/>
      <c r="G21" s="2"/>
    </row>
    <row r="22" spans="1:7" x14ac:dyDescent="0.3">
      <c r="A22" s="5" t="s">
        <v>66</v>
      </c>
      <c r="B22" s="21">
        <v>900</v>
      </c>
      <c r="C22" s="2"/>
      <c r="D22" s="2"/>
      <c r="E22" s="2"/>
      <c r="F22" s="2"/>
      <c r="G22" s="2"/>
    </row>
    <row r="23" spans="1:7" x14ac:dyDescent="0.3">
      <c r="A23" s="5" t="s">
        <v>67</v>
      </c>
      <c r="B23" s="12">
        <v>3000</v>
      </c>
      <c r="C23" s="2"/>
      <c r="D23" s="2"/>
      <c r="E23" s="2"/>
      <c r="F23" s="2"/>
      <c r="G23" s="2"/>
    </row>
    <row r="24" spans="1:7" x14ac:dyDescent="0.3">
      <c r="A24" s="5" t="s">
        <v>68</v>
      </c>
      <c r="B24" s="21">
        <v>100</v>
      </c>
      <c r="C24" s="2"/>
      <c r="D24" s="2"/>
      <c r="E24" s="2"/>
      <c r="F24" s="2"/>
      <c r="G24" s="2"/>
    </row>
    <row r="25" spans="1:7" x14ac:dyDescent="0.3">
      <c r="A25" s="17" t="s">
        <v>69</v>
      </c>
      <c r="B25" s="18"/>
      <c r="C25" s="18"/>
      <c r="D25" s="18"/>
      <c r="E25" s="18"/>
      <c r="F25" s="18"/>
      <c r="G25" s="18"/>
    </row>
    <row r="26" spans="1:7" x14ac:dyDescent="0.3">
      <c r="A26" s="4" t="s">
        <v>70</v>
      </c>
      <c r="B26" s="4" t="s">
        <v>71</v>
      </c>
      <c r="C26" s="4" t="s">
        <v>72</v>
      </c>
      <c r="D26" s="2"/>
      <c r="E26" s="2"/>
      <c r="F26" s="2"/>
      <c r="G26" s="2"/>
    </row>
    <row r="27" spans="1:7" x14ac:dyDescent="0.3">
      <c r="A27" s="5" t="s">
        <v>73</v>
      </c>
      <c r="B27" s="23">
        <v>1</v>
      </c>
      <c r="C27" s="21">
        <v>400</v>
      </c>
      <c r="D27" s="2"/>
      <c r="E27" s="2"/>
      <c r="F27" s="2"/>
      <c r="G27" s="2"/>
    </row>
    <row r="28" spans="1:7" x14ac:dyDescent="0.3">
      <c r="A28" s="5" t="s">
        <v>74</v>
      </c>
      <c r="B28" s="23">
        <v>3</v>
      </c>
      <c r="C28" s="21">
        <v>10000</v>
      </c>
      <c r="D28" s="2"/>
      <c r="E28" s="2"/>
      <c r="F28" s="2"/>
      <c r="G28" s="13" t="s">
        <v>75</v>
      </c>
    </row>
    <row r="29" spans="1:7" x14ac:dyDescent="0.3">
      <c r="A29" s="5" t="s">
        <v>76</v>
      </c>
      <c r="B29" s="23">
        <v>9</v>
      </c>
      <c r="C29" s="21">
        <v>3500</v>
      </c>
      <c r="D29" s="2"/>
      <c r="E29" s="2"/>
      <c r="F29" s="2"/>
      <c r="G29" s="13" t="s">
        <v>77</v>
      </c>
    </row>
    <row r="30" spans="1:7" x14ac:dyDescent="0.3">
      <c r="A30" s="5" t="s">
        <v>78</v>
      </c>
      <c r="B30" s="23">
        <v>9</v>
      </c>
      <c r="C30" s="21">
        <v>8000</v>
      </c>
      <c r="D30" s="2"/>
      <c r="E30" s="2"/>
      <c r="F30" s="2"/>
      <c r="G30" s="13" t="s">
        <v>79</v>
      </c>
    </row>
    <row r="31" spans="1:7" x14ac:dyDescent="0.3">
      <c r="A31" s="5" t="s">
        <v>80</v>
      </c>
      <c r="B31" s="23">
        <v>10</v>
      </c>
      <c r="C31" s="21">
        <v>7500</v>
      </c>
      <c r="D31" s="2"/>
      <c r="E31" s="2"/>
      <c r="F31" s="2"/>
      <c r="G31" s="13" t="s">
        <v>81</v>
      </c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17" t="s">
        <v>82</v>
      </c>
      <c r="B33" s="18"/>
      <c r="C33" s="18"/>
      <c r="D33" s="18"/>
      <c r="E33" s="18"/>
      <c r="F33" s="18"/>
      <c r="G33" s="18"/>
    </row>
    <row r="34" spans="1:7" x14ac:dyDescent="0.3">
      <c r="A34" s="4" t="s">
        <v>83</v>
      </c>
      <c r="B34" s="4" t="s">
        <v>3</v>
      </c>
      <c r="C34" s="4" t="s">
        <v>4</v>
      </c>
      <c r="D34" s="2"/>
      <c r="E34" s="2"/>
      <c r="F34" s="2"/>
      <c r="G34" s="2"/>
    </row>
    <row r="35" spans="1:7" x14ac:dyDescent="0.3">
      <c r="A35" s="2" t="s">
        <v>84</v>
      </c>
      <c r="B35" s="24">
        <v>0.5</v>
      </c>
      <c r="C35" s="24">
        <v>0.25</v>
      </c>
      <c r="D35" s="2"/>
      <c r="E35" s="2"/>
      <c r="F35" s="2"/>
      <c r="G35" s="13" t="s">
        <v>85</v>
      </c>
    </row>
    <row r="36" spans="1:7" x14ac:dyDescent="0.3">
      <c r="A36" s="2" t="s">
        <v>86</v>
      </c>
      <c r="B36" s="24">
        <v>0.75</v>
      </c>
      <c r="C36" s="24">
        <v>1.17</v>
      </c>
      <c r="D36" s="2"/>
      <c r="E36" s="2"/>
      <c r="F36" s="2"/>
      <c r="G36" s="2"/>
    </row>
    <row r="37" spans="1:7" x14ac:dyDescent="0.3">
      <c r="A37" s="2" t="s">
        <v>87</v>
      </c>
      <c r="B37" s="24">
        <v>1</v>
      </c>
      <c r="C37" s="24">
        <v>2.5</v>
      </c>
      <c r="D37" s="2"/>
      <c r="E37" s="2"/>
      <c r="F37" s="2"/>
      <c r="G37" s="2"/>
    </row>
    <row r="38" spans="1:7" x14ac:dyDescent="0.3">
      <c r="A38" s="2" t="s">
        <v>88</v>
      </c>
      <c r="B38" s="24">
        <v>1.25</v>
      </c>
      <c r="C38" s="24">
        <v>3.75</v>
      </c>
      <c r="D38" s="2"/>
      <c r="E38" s="2"/>
      <c r="F38" s="2"/>
      <c r="G38" s="2"/>
    </row>
    <row r="39" spans="1:7" x14ac:dyDescent="0.3">
      <c r="A39" s="2" t="s">
        <v>89</v>
      </c>
      <c r="B39" s="24">
        <v>1.5</v>
      </c>
      <c r="C39" s="24">
        <v>4.33</v>
      </c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 t="s">
        <v>90</v>
      </c>
      <c r="B41" s="21">
        <v>0</v>
      </c>
      <c r="C41" s="21">
        <v>0</v>
      </c>
      <c r="D41" s="2"/>
      <c r="E41" s="2"/>
      <c r="F41" s="2"/>
      <c r="G41" s="2"/>
    </row>
    <row r="42" spans="1:7" x14ac:dyDescent="0.3">
      <c r="A42" s="2" t="s">
        <v>91</v>
      </c>
      <c r="B42" s="21">
        <v>0</v>
      </c>
      <c r="C42" s="21">
        <v>2000</v>
      </c>
      <c r="D42" s="2"/>
      <c r="E42" s="2"/>
      <c r="F42" s="2"/>
      <c r="G42" s="2"/>
    </row>
    <row r="43" spans="1:7" x14ac:dyDescent="0.3">
      <c r="A43" s="2" t="s">
        <v>92</v>
      </c>
      <c r="B43" s="21">
        <v>0</v>
      </c>
      <c r="C43" s="21">
        <v>5000</v>
      </c>
      <c r="D43" s="2"/>
      <c r="E43" s="2"/>
      <c r="F43" s="2"/>
      <c r="G43" s="2"/>
    </row>
    <row r="44" spans="1:7" x14ac:dyDescent="0.3">
      <c r="A44" s="2" t="s">
        <v>93</v>
      </c>
      <c r="B44" s="21">
        <v>1000</v>
      </c>
      <c r="C44" s="21">
        <v>8000</v>
      </c>
      <c r="D44" s="2"/>
      <c r="E44" s="2"/>
      <c r="F44" s="2"/>
      <c r="G44" s="2"/>
    </row>
    <row r="45" spans="1:7" x14ac:dyDescent="0.3">
      <c r="A45" s="2" t="s">
        <v>94</v>
      </c>
      <c r="B45" s="21">
        <v>2000</v>
      </c>
      <c r="C45" s="21">
        <v>12000</v>
      </c>
      <c r="D45" s="2"/>
      <c r="E45" s="2"/>
      <c r="F45" s="2"/>
      <c r="G45" s="2"/>
    </row>
    <row r="46" spans="1:7" x14ac:dyDescent="0.3">
      <c r="A46" s="17" t="s">
        <v>95</v>
      </c>
      <c r="B46" s="18"/>
      <c r="C46" s="18"/>
      <c r="D46" s="18"/>
      <c r="E46" s="18"/>
      <c r="F46" s="18"/>
      <c r="G46" s="18"/>
    </row>
    <row r="47" spans="1:7" ht="42" x14ac:dyDescent="0.3">
      <c r="A47" s="10" t="s">
        <v>96</v>
      </c>
      <c r="B47" s="10" t="s">
        <v>97</v>
      </c>
      <c r="C47" s="10" t="s">
        <v>98</v>
      </c>
      <c r="D47" s="10" t="s">
        <v>99</v>
      </c>
      <c r="E47" s="10" t="s">
        <v>100</v>
      </c>
      <c r="F47" s="10" t="s">
        <v>101</v>
      </c>
      <c r="G47" s="2"/>
    </row>
    <row r="48" spans="1:7" x14ac:dyDescent="0.3">
      <c r="A48" s="2" t="s">
        <v>102</v>
      </c>
      <c r="B48" s="21">
        <v>15000</v>
      </c>
      <c r="C48" s="23">
        <v>1</v>
      </c>
      <c r="D48" s="23">
        <v>37</v>
      </c>
      <c r="E48" s="23">
        <v>25</v>
      </c>
      <c r="F48" s="15">
        <f t="shared" ref="F48:F54" si="0">B48*(1+$B$57*C48)+C48*$B$58/12</f>
        <v>17179.166666666668</v>
      </c>
      <c r="G48" s="13" t="s">
        <v>103</v>
      </c>
    </row>
    <row r="49" spans="1:7" x14ac:dyDescent="0.3">
      <c r="A49" s="2" t="s">
        <v>104</v>
      </c>
      <c r="B49" s="21">
        <v>18000</v>
      </c>
      <c r="C49" s="23">
        <v>1</v>
      </c>
      <c r="D49" s="23">
        <v>49</v>
      </c>
      <c r="E49" s="23">
        <v>37</v>
      </c>
      <c r="F49" s="15">
        <f t="shared" si="0"/>
        <v>20531.666666666668</v>
      </c>
      <c r="G49" s="2"/>
    </row>
    <row r="50" spans="1:7" x14ac:dyDescent="0.3">
      <c r="A50" s="2" t="s">
        <v>105</v>
      </c>
      <c r="B50" s="21">
        <v>15000</v>
      </c>
      <c r="C50" s="23">
        <v>0</v>
      </c>
      <c r="D50" s="23">
        <v>61</v>
      </c>
      <c r="E50" s="23">
        <v>37</v>
      </c>
      <c r="F50" s="15">
        <f t="shared" si="0"/>
        <v>15000</v>
      </c>
      <c r="G50" s="2"/>
    </row>
    <row r="51" spans="1:7" x14ac:dyDescent="0.3">
      <c r="A51" s="2" t="s">
        <v>106</v>
      </c>
      <c r="B51" s="21">
        <v>15000</v>
      </c>
      <c r="C51" s="23">
        <v>1</v>
      </c>
      <c r="D51" s="23">
        <v>999</v>
      </c>
      <c r="E51" s="23">
        <v>49</v>
      </c>
      <c r="F51" s="15">
        <f t="shared" si="0"/>
        <v>17179.166666666668</v>
      </c>
      <c r="G51" s="2"/>
    </row>
    <row r="52" spans="1:7" x14ac:dyDescent="0.3">
      <c r="A52" s="2" t="s">
        <v>107</v>
      </c>
      <c r="B52" s="21">
        <v>27000</v>
      </c>
      <c r="C52" s="23">
        <v>1</v>
      </c>
      <c r="D52" s="23">
        <v>999</v>
      </c>
      <c r="E52" s="23">
        <v>49</v>
      </c>
      <c r="F52" s="15">
        <f t="shared" si="0"/>
        <v>30589.166666666668</v>
      </c>
      <c r="G52" s="2"/>
    </row>
    <row r="53" spans="1:7" x14ac:dyDescent="0.3">
      <c r="A53" s="2" t="s">
        <v>108</v>
      </c>
      <c r="B53" s="21">
        <v>15000</v>
      </c>
      <c r="C53" s="23">
        <v>1</v>
      </c>
      <c r="D53" s="23">
        <v>999</v>
      </c>
      <c r="E53" s="23">
        <v>61</v>
      </c>
      <c r="F53" s="15">
        <f t="shared" si="0"/>
        <v>17179.166666666668</v>
      </c>
      <c r="G53" s="2"/>
    </row>
    <row r="54" spans="1:7" x14ac:dyDescent="0.3">
      <c r="A54" s="2" t="s">
        <v>109</v>
      </c>
      <c r="B54" s="21">
        <v>18000</v>
      </c>
      <c r="C54" s="23">
        <v>1</v>
      </c>
      <c r="D54" s="23">
        <v>999</v>
      </c>
      <c r="E54" s="23">
        <v>61</v>
      </c>
      <c r="F54" s="15">
        <f t="shared" si="0"/>
        <v>20531.666666666668</v>
      </c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5" t="s">
        <v>110</v>
      </c>
      <c r="B57" s="20">
        <v>0.11749999999999999</v>
      </c>
      <c r="C57" s="2"/>
      <c r="D57" s="2"/>
      <c r="E57" s="2"/>
      <c r="F57" s="2"/>
      <c r="G57" s="13" t="s">
        <v>111</v>
      </c>
    </row>
    <row r="58" spans="1:7" x14ac:dyDescent="0.3">
      <c r="A58" s="5" t="s">
        <v>112</v>
      </c>
      <c r="B58" s="21">
        <v>5000</v>
      </c>
      <c r="C58" s="2"/>
      <c r="D58" s="2"/>
      <c r="E58" s="2"/>
      <c r="F58" s="2"/>
      <c r="G58" s="13" t="s">
        <v>113</v>
      </c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3" t="s">
        <v>114</v>
      </c>
      <c r="B60" s="2"/>
      <c r="C60" s="2"/>
      <c r="D60" s="2"/>
      <c r="E60" s="2"/>
      <c r="F60" s="2"/>
      <c r="G6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6" width="13" customWidth="1"/>
  </cols>
  <sheetData>
    <row r="1" spans="1:16" ht="17.399999999999999" x14ac:dyDescent="0.3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1.95" customHeight="1" x14ac:dyDescent="0.3">
      <c r="A3" s="25" t="s">
        <v>71</v>
      </c>
      <c r="B3" s="25" t="s">
        <v>15</v>
      </c>
      <c r="C3" s="25" t="s">
        <v>116</v>
      </c>
      <c r="D3" s="25" t="s">
        <v>117</v>
      </c>
      <c r="E3" s="25" t="s">
        <v>118</v>
      </c>
      <c r="F3" s="25" t="s">
        <v>119</v>
      </c>
      <c r="G3" s="25" t="s">
        <v>120</v>
      </c>
      <c r="H3" s="25" t="s">
        <v>121</v>
      </c>
      <c r="I3" s="25" t="s">
        <v>122</v>
      </c>
      <c r="J3" s="25" t="s">
        <v>123</v>
      </c>
      <c r="K3" s="25" t="s">
        <v>124</v>
      </c>
      <c r="L3" s="25" t="s">
        <v>125</v>
      </c>
      <c r="M3" s="25" t="s">
        <v>126</v>
      </c>
      <c r="N3" s="25" t="s">
        <v>127</v>
      </c>
      <c r="O3" s="25" t="s">
        <v>128</v>
      </c>
      <c r="P3" s="25" t="s">
        <v>129</v>
      </c>
    </row>
    <row r="4" spans="1:16" x14ac:dyDescent="0.3">
      <c r="A4" s="26">
        <v>1</v>
      </c>
      <c r="B4" s="5" t="str">
        <f t="shared" ref="B4:B35" si="0">"Year "&amp;INT((A4-1)/12)</f>
        <v>Year 0</v>
      </c>
      <c r="C4" s="5">
        <f t="shared" ref="C4:C35" si="1">IF(A4&lt;=12,0,INT((A4-13)/12)+1)</f>
        <v>0</v>
      </c>
      <c r="D4" s="27">
        <f>IF(A4=Assumptions!$B$5,1,0)+IF(AND(A4&gt;Assumptions!$B$5,C4&gt;0),INDEX(Assumptions!$B$35:$B$39,C4),0)</f>
        <v>0</v>
      </c>
      <c r="E4" s="27">
        <f>0*(1-Assumptions!$B$9)+D4</f>
        <v>0</v>
      </c>
      <c r="F4" s="15">
        <f>E4*Assumptions!$B$6</f>
        <v>0</v>
      </c>
      <c r="G4" s="15">
        <f>F4*Assumptions!$B$7</f>
        <v>0</v>
      </c>
      <c r="H4" s="15">
        <f>E4*Assumptions!$B$8</f>
        <v>0</v>
      </c>
      <c r="I4" s="15">
        <f>IF(A4&lt;=Assumptions!$B$5,Assumptions!$B$13+Assumptions!$B$14+Assumptions!$B$15+Assumptions!$B$16+IF(A4&gt;=Assumptions!$B$11,Assumptions!$B$17,0),SUM(Assumptions!$B$19:$B$24))</f>
        <v>1600</v>
      </c>
      <c r="J4" s="15">
        <f>IF(C4&gt;0,INDEX(Assumptions!$B$41:$B$45,C4),0)</f>
        <v>0</v>
      </c>
      <c r="K4" s="15">
        <f>SUMIF(Assumptions!$B$27:$B$31,A4,Assumptions!$C$27:$C$31)</f>
        <v>400</v>
      </c>
      <c r="L4" s="15">
        <f>SUMPRODUCT((Assumptions!$D$48:$D$54&lt;=A4)*Assumptions!$F$48:$F$54)</f>
        <v>0</v>
      </c>
      <c r="M4" s="15">
        <f>IF(A4&lt;=Assumptions!$B$5,(I4+K4)*Assumptions!$B$10,0)</f>
        <v>200</v>
      </c>
      <c r="N4" s="15">
        <f t="shared" ref="N4:N35" si="2">SUM(G4:M4)</f>
        <v>2200</v>
      </c>
      <c r="O4" s="15">
        <f t="shared" ref="O4:O35" si="3">F4-N4</f>
        <v>-2200</v>
      </c>
      <c r="P4" s="15">
        <f>0+O4</f>
        <v>-2200</v>
      </c>
    </row>
    <row r="5" spans="1:16" x14ac:dyDescent="0.3">
      <c r="A5" s="26">
        <v>2</v>
      </c>
      <c r="B5" s="5" t="str">
        <f t="shared" si="0"/>
        <v>Year 0</v>
      </c>
      <c r="C5" s="5">
        <f t="shared" si="1"/>
        <v>0</v>
      </c>
      <c r="D5" s="27">
        <f>IF(A5=Assumptions!$B$5,1,0)+IF(AND(A5&gt;Assumptions!$B$5,C5&gt;0),INDEX(Assumptions!$B$35:$B$39,C5),0)</f>
        <v>0</v>
      </c>
      <c r="E5" s="27">
        <f>E4*(1-Assumptions!$B$9)+D5</f>
        <v>0</v>
      </c>
      <c r="F5" s="15">
        <f>E5*Assumptions!$B$6</f>
        <v>0</v>
      </c>
      <c r="G5" s="15">
        <f>F5*Assumptions!$B$7</f>
        <v>0</v>
      </c>
      <c r="H5" s="15">
        <f>E5*Assumptions!$B$8</f>
        <v>0</v>
      </c>
      <c r="I5" s="15">
        <f>IF(A5&lt;=Assumptions!$B$5,Assumptions!$B$13+Assumptions!$B$14+Assumptions!$B$15+Assumptions!$B$16+IF(A5&gt;=Assumptions!$B$11,Assumptions!$B$17,0),SUM(Assumptions!$B$19:$B$24))</f>
        <v>1600</v>
      </c>
      <c r="J5" s="15">
        <f>IF(C5&gt;0,INDEX(Assumptions!$B$41:$B$45,C5),0)</f>
        <v>0</v>
      </c>
      <c r="K5" s="15">
        <f>SUMIF(Assumptions!$B$27:$B$31,A5,Assumptions!$C$27:$C$31)</f>
        <v>0</v>
      </c>
      <c r="L5" s="15">
        <f>SUMPRODUCT((Assumptions!$D$48:$D$54&lt;=A5)*Assumptions!$F$48:$F$54)</f>
        <v>0</v>
      </c>
      <c r="M5" s="15">
        <f>IF(A5&lt;=Assumptions!$B$5,(I5+K5)*Assumptions!$B$10,0)</f>
        <v>160</v>
      </c>
      <c r="N5" s="15">
        <f t="shared" si="2"/>
        <v>1760</v>
      </c>
      <c r="O5" s="15">
        <f t="shared" si="3"/>
        <v>-1760</v>
      </c>
      <c r="P5" s="15">
        <f t="shared" ref="P5:P36" si="4">P4+O5</f>
        <v>-3960</v>
      </c>
    </row>
    <row r="6" spans="1:16" x14ac:dyDescent="0.3">
      <c r="A6" s="26">
        <v>3</v>
      </c>
      <c r="B6" s="5" t="str">
        <f t="shared" si="0"/>
        <v>Year 0</v>
      </c>
      <c r="C6" s="5">
        <f t="shared" si="1"/>
        <v>0</v>
      </c>
      <c r="D6" s="27">
        <f>IF(A6=Assumptions!$B$5,1,0)+IF(AND(A6&gt;Assumptions!$B$5,C6&gt;0),INDEX(Assumptions!$B$35:$B$39,C6),0)</f>
        <v>0</v>
      </c>
      <c r="E6" s="27">
        <f>E5*(1-Assumptions!$B$9)+D6</f>
        <v>0</v>
      </c>
      <c r="F6" s="15">
        <f>E6*Assumptions!$B$6</f>
        <v>0</v>
      </c>
      <c r="G6" s="15">
        <f>F6*Assumptions!$B$7</f>
        <v>0</v>
      </c>
      <c r="H6" s="15">
        <f>E6*Assumptions!$B$8</f>
        <v>0</v>
      </c>
      <c r="I6" s="15">
        <f>IF(A6&lt;=Assumptions!$B$5,Assumptions!$B$13+Assumptions!$B$14+Assumptions!$B$15+Assumptions!$B$16+IF(A6&gt;=Assumptions!$B$11,Assumptions!$B$17,0),SUM(Assumptions!$B$19:$B$24))</f>
        <v>1600</v>
      </c>
      <c r="J6" s="15">
        <f>IF(C6&gt;0,INDEX(Assumptions!$B$41:$B$45,C6),0)</f>
        <v>0</v>
      </c>
      <c r="K6" s="15">
        <f>SUMIF(Assumptions!$B$27:$B$31,A6,Assumptions!$C$27:$C$31)</f>
        <v>10000</v>
      </c>
      <c r="L6" s="15">
        <f>SUMPRODUCT((Assumptions!$D$48:$D$54&lt;=A6)*Assumptions!$F$48:$F$54)</f>
        <v>0</v>
      </c>
      <c r="M6" s="15">
        <f>IF(A6&lt;=Assumptions!$B$5,(I6+K6)*Assumptions!$B$10,0)</f>
        <v>1160</v>
      </c>
      <c r="N6" s="15">
        <f t="shared" si="2"/>
        <v>12760</v>
      </c>
      <c r="O6" s="15">
        <f t="shared" si="3"/>
        <v>-12760</v>
      </c>
      <c r="P6" s="15">
        <f t="shared" si="4"/>
        <v>-16720</v>
      </c>
    </row>
    <row r="7" spans="1:16" x14ac:dyDescent="0.3">
      <c r="A7" s="26">
        <v>4</v>
      </c>
      <c r="B7" s="5" t="str">
        <f t="shared" si="0"/>
        <v>Year 0</v>
      </c>
      <c r="C7" s="5">
        <f t="shared" si="1"/>
        <v>0</v>
      </c>
      <c r="D7" s="27">
        <f>IF(A7=Assumptions!$B$5,1,0)+IF(AND(A7&gt;Assumptions!$B$5,C7&gt;0),INDEX(Assumptions!$B$35:$B$39,C7),0)</f>
        <v>0</v>
      </c>
      <c r="E7" s="27">
        <f>E6*(1-Assumptions!$B$9)+D7</f>
        <v>0</v>
      </c>
      <c r="F7" s="15">
        <f>E7*Assumptions!$B$6</f>
        <v>0</v>
      </c>
      <c r="G7" s="15">
        <f>F7*Assumptions!$B$7</f>
        <v>0</v>
      </c>
      <c r="H7" s="15">
        <f>E7*Assumptions!$B$8</f>
        <v>0</v>
      </c>
      <c r="I7" s="15">
        <f>IF(A7&lt;=Assumptions!$B$5,Assumptions!$B$13+Assumptions!$B$14+Assumptions!$B$15+Assumptions!$B$16+IF(A7&gt;=Assumptions!$B$11,Assumptions!$B$17,0),SUM(Assumptions!$B$19:$B$24))</f>
        <v>1600</v>
      </c>
      <c r="J7" s="15">
        <f>IF(C7&gt;0,INDEX(Assumptions!$B$41:$B$45,C7),0)</f>
        <v>0</v>
      </c>
      <c r="K7" s="15">
        <f>SUMIF(Assumptions!$B$27:$B$31,A7,Assumptions!$C$27:$C$31)</f>
        <v>0</v>
      </c>
      <c r="L7" s="15">
        <f>SUMPRODUCT((Assumptions!$D$48:$D$54&lt;=A7)*Assumptions!$F$48:$F$54)</f>
        <v>0</v>
      </c>
      <c r="M7" s="15">
        <f>IF(A7&lt;=Assumptions!$B$5,(I7+K7)*Assumptions!$B$10,0)</f>
        <v>160</v>
      </c>
      <c r="N7" s="15">
        <f t="shared" si="2"/>
        <v>1760</v>
      </c>
      <c r="O7" s="15">
        <f t="shared" si="3"/>
        <v>-1760</v>
      </c>
      <c r="P7" s="15">
        <f t="shared" si="4"/>
        <v>-18480</v>
      </c>
    </row>
    <row r="8" spans="1:16" x14ac:dyDescent="0.3">
      <c r="A8" s="26">
        <v>5</v>
      </c>
      <c r="B8" s="5" t="str">
        <f t="shared" si="0"/>
        <v>Year 0</v>
      </c>
      <c r="C8" s="5">
        <f t="shared" si="1"/>
        <v>0</v>
      </c>
      <c r="D8" s="27">
        <f>IF(A8=Assumptions!$B$5,1,0)+IF(AND(A8&gt;Assumptions!$B$5,C8&gt;0),INDEX(Assumptions!$B$35:$B$39,C8),0)</f>
        <v>0</v>
      </c>
      <c r="E8" s="27">
        <f>E7*(1-Assumptions!$B$9)+D8</f>
        <v>0</v>
      </c>
      <c r="F8" s="15">
        <f>E8*Assumptions!$B$6</f>
        <v>0</v>
      </c>
      <c r="G8" s="15">
        <f>F8*Assumptions!$B$7</f>
        <v>0</v>
      </c>
      <c r="H8" s="15">
        <f>E8*Assumptions!$B$8</f>
        <v>0</v>
      </c>
      <c r="I8" s="15">
        <f>IF(A8&lt;=Assumptions!$B$5,Assumptions!$B$13+Assumptions!$B$14+Assumptions!$B$15+Assumptions!$B$16+IF(A8&gt;=Assumptions!$B$11,Assumptions!$B$17,0),SUM(Assumptions!$B$19:$B$24))</f>
        <v>1600</v>
      </c>
      <c r="J8" s="15">
        <f>IF(C8&gt;0,INDEX(Assumptions!$B$41:$B$45,C8),0)</f>
        <v>0</v>
      </c>
      <c r="K8" s="15">
        <f>SUMIF(Assumptions!$B$27:$B$31,A8,Assumptions!$C$27:$C$31)</f>
        <v>0</v>
      </c>
      <c r="L8" s="15">
        <f>SUMPRODUCT((Assumptions!$D$48:$D$54&lt;=A8)*Assumptions!$F$48:$F$54)</f>
        <v>0</v>
      </c>
      <c r="M8" s="15">
        <f>IF(A8&lt;=Assumptions!$B$5,(I8+K8)*Assumptions!$B$10,0)</f>
        <v>160</v>
      </c>
      <c r="N8" s="15">
        <f t="shared" si="2"/>
        <v>1760</v>
      </c>
      <c r="O8" s="15">
        <f t="shared" si="3"/>
        <v>-1760</v>
      </c>
      <c r="P8" s="15">
        <f t="shared" si="4"/>
        <v>-20240</v>
      </c>
    </row>
    <row r="9" spans="1:16" x14ac:dyDescent="0.3">
      <c r="A9" s="26">
        <v>6</v>
      </c>
      <c r="B9" s="5" t="str">
        <f t="shared" si="0"/>
        <v>Year 0</v>
      </c>
      <c r="C9" s="5">
        <f t="shared" si="1"/>
        <v>0</v>
      </c>
      <c r="D9" s="27">
        <f>IF(A9=Assumptions!$B$5,1,0)+IF(AND(A9&gt;Assumptions!$B$5,C9&gt;0),INDEX(Assumptions!$B$35:$B$39,C9),0)</f>
        <v>0</v>
      </c>
      <c r="E9" s="27">
        <f>E8*(1-Assumptions!$B$9)+D9</f>
        <v>0</v>
      </c>
      <c r="F9" s="15">
        <f>E9*Assumptions!$B$6</f>
        <v>0</v>
      </c>
      <c r="G9" s="15">
        <f>F9*Assumptions!$B$7</f>
        <v>0</v>
      </c>
      <c r="H9" s="15">
        <f>E9*Assumptions!$B$8</f>
        <v>0</v>
      </c>
      <c r="I9" s="15">
        <f>IF(A9&lt;=Assumptions!$B$5,Assumptions!$B$13+Assumptions!$B$14+Assumptions!$B$15+Assumptions!$B$16+IF(A9&gt;=Assumptions!$B$11,Assumptions!$B$17,0),SUM(Assumptions!$B$19:$B$24))</f>
        <v>1600</v>
      </c>
      <c r="J9" s="15">
        <f>IF(C9&gt;0,INDEX(Assumptions!$B$41:$B$45,C9),0)</f>
        <v>0</v>
      </c>
      <c r="K9" s="15">
        <f>SUMIF(Assumptions!$B$27:$B$31,A9,Assumptions!$C$27:$C$31)</f>
        <v>0</v>
      </c>
      <c r="L9" s="15">
        <f>SUMPRODUCT((Assumptions!$D$48:$D$54&lt;=A9)*Assumptions!$F$48:$F$54)</f>
        <v>0</v>
      </c>
      <c r="M9" s="15">
        <f>IF(A9&lt;=Assumptions!$B$5,(I9+K9)*Assumptions!$B$10,0)</f>
        <v>160</v>
      </c>
      <c r="N9" s="15">
        <f t="shared" si="2"/>
        <v>1760</v>
      </c>
      <c r="O9" s="15">
        <f t="shared" si="3"/>
        <v>-1760</v>
      </c>
      <c r="P9" s="15">
        <f t="shared" si="4"/>
        <v>-22000</v>
      </c>
    </row>
    <row r="10" spans="1:16" x14ac:dyDescent="0.3">
      <c r="A10" s="26">
        <v>7</v>
      </c>
      <c r="B10" s="5" t="str">
        <f t="shared" si="0"/>
        <v>Year 0</v>
      </c>
      <c r="C10" s="5">
        <f t="shared" si="1"/>
        <v>0</v>
      </c>
      <c r="D10" s="27">
        <f>IF(A10=Assumptions!$B$5,1,0)+IF(AND(A10&gt;Assumptions!$B$5,C10&gt;0),INDEX(Assumptions!$B$35:$B$39,C10),0)</f>
        <v>0</v>
      </c>
      <c r="E10" s="27">
        <f>E9*(1-Assumptions!$B$9)+D10</f>
        <v>0</v>
      </c>
      <c r="F10" s="15">
        <f>E10*Assumptions!$B$6</f>
        <v>0</v>
      </c>
      <c r="G10" s="15">
        <f>F10*Assumptions!$B$7</f>
        <v>0</v>
      </c>
      <c r="H10" s="15">
        <f>E10*Assumptions!$B$8</f>
        <v>0</v>
      </c>
      <c r="I10" s="15">
        <f>IF(A10&lt;=Assumptions!$B$5,Assumptions!$B$13+Assumptions!$B$14+Assumptions!$B$15+Assumptions!$B$16+IF(A10&gt;=Assumptions!$B$11,Assumptions!$B$17,0),SUM(Assumptions!$B$19:$B$24))</f>
        <v>1600</v>
      </c>
      <c r="J10" s="15">
        <f>IF(C10&gt;0,INDEX(Assumptions!$B$41:$B$45,C10),0)</f>
        <v>0</v>
      </c>
      <c r="K10" s="15">
        <f>SUMIF(Assumptions!$B$27:$B$31,A10,Assumptions!$C$27:$C$31)</f>
        <v>0</v>
      </c>
      <c r="L10" s="15">
        <f>SUMPRODUCT((Assumptions!$D$48:$D$54&lt;=A10)*Assumptions!$F$48:$F$54)</f>
        <v>0</v>
      </c>
      <c r="M10" s="15">
        <f>IF(A10&lt;=Assumptions!$B$5,(I10+K10)*Assumptions!$B$10,0)</f>
        <v>160</v>
      </c>
      <c r="N10" s="15">
        <f t="shared" si="2"/>
        <v>1760</v>
      </c>
      <c r="O10" s="15">
        <f t="shared" si="3"/>
        <v>-1760</v>
      </c>
      <c r="P10" s="15">
        <f t="shared" si="4"/>
        <v>-23760</v>
      </c>
    </row>
    <row r="11" spans="1:16" x14ac:dyDescent="0.3">
      <c r="A11" s="26">
        <v>8</v>
      </c>
      <c r="B11" s="5" t="str">
        <f t="shared" si="0"/>
        <v>Year 0</v>
      </c>
      <c r="C11" s="5">
        <f t="shared" si="1"/>
        <v>0</v>
      </c>
      <c r="D11" s="27">
        <f>IF(A11=Assumptions!$B$5,1,0)+IF(AND(A11&gt;Assumptions!$B$5,C11&gt;0),INDEX(Assumptions!$B$35:$B$39,C11),0)</f>
        <v>0</v>
      </c>
      <c r="E11" s="27">
        <f>E10*(1-Assumptions!$B$9)+D11</f>
        <v>0</v>
      </c>
      <c r="F11" s="15">
        <f>E11*Assumptions!$B$6</f>
        <v>0</v>
      </c>
      <c r="G11" s="15">
        <f>F11*Assumptions!$B$7</f>
        <v>0</v>
      </c>
      <c r="H11" s="15">
        <f>E11*Assumptions!$B$8</f>
        <v>0</v>
      </c>
      <c r="I11" s="15">
        <f>IF(A11&lt;=Assumptions!$B$5,Assumptions!$B$13+Assumptions!$B$14+Assumptions!$B$15+Assumptions!$B$16+IF(A11&gt;=Assumptions!$B$11,Assumptions!$B$17,0),SUM(Assumptions!$B$19:$B$24))</f>
        <v>1600</v>
      </c>
      <c r="J11" s="15">
        <f>IF(C11&gt;0,INDEX(Assumptions!$B$41:$B$45,C11),0)</f>
        <v>0</v>
      </c>
      <c r="K11" s="15">
        <f>SUMIF(Assumptions!$B$27:$B$31,A11,Assumptions!$C$27:$C$31)</f>
        <v>0</v>
      </c>
      <c r="L11" s="15">
        <f>SUMPRODUCT((Assumptions!$D$48:$D$54&lt;=A11)*Assumptions!$F$48:$F$54)</f>
        <v>0</v>
      </c>
      <c r="M11" s="15">
        <f>IF(A11&lt;=Assumptions!$B$5,(I11+K11)*Assumptions!$B$10,0)</f>
        <v>160</v>
      </c>
      <c r="N11" s="15">
        <f t="shared" si="2"/>
        <v>1760</v>
      </c>
      <c r="O11" s="15">
        <f t="shared" si="3"/>
        <v>-1760</v>
      </c>
      <c r="P11" s="15">
        <f t="shared" si="4"/>
        <v>-25520</v>
      </c>
    </row>
    <row r="12" spans="1:16" x14ac:dyDescent="0.3">
      <c r="A12" s="26">
        <v>9</v>
      </c>
      <c r="B12" s="5" t="str">
        <f t="shared" si="0"/>
        <v>Year 0</v>
      </c>
      <c r="C12" s="5">
        <f t="shared" si="1"/>
        <v>0</v>
      </c>
      <c r="D12" s="27">
        <f>IF(A12=Assumptions!$B$5,1,0)+IF(AND(A12&gt;Assumptions!$B$5,C12&gt;0),INDEX(Assumptions!$B$35:$B$39,C12),0)</f>
        <v>0</v>
      </c>
      <c r="E12" s="27">
        <f>E11*(1-Assumptions!$B$9)+D12</f>
        <v>0</v>
      </c>
      <c r="F12" s="15">
        <f>E12*Assumptions!$B$6</f>
        <v>0</v>
      </c>
      <c r="G12" s="15">
        <f>F12*Assumptions!$B$7</f>
        <v>0</v>
      </c>
      <c r="H12" s="15">
        <f>E12*Assumptions!$B$8</f>
        <v>0</v>
      </c>
      <c r="I12" s="15">
        <f>IF(A12&lt;=Assumptions!$B$5,Assumptions!$B$13+Assumptions!$B$14+Assumptions!$B$15+Assumptions!$B$16+IF(A12&gt;=Assumptions!$B$11,Assumptions!$B$17,0),SUM(Assumptions!$B$19:$B$24))</f>
        <v>2500</v>
      </c>
      <c r="J12" s="15">
        <f>IF(C12&gt;0,INDEX(Assumptions!$B$41:$B$45,C12),0)</f>
        <v>0</v>
      </c>
      <c r="K12" s="15">
        <f>SUMIF(Assumptions!$B$27:$B$31,A12,Assumptions!$C$27:$C$31)</f>
        <v>11500</v>
      </c>
      <c r="L12" s="15">
        <f>SUMPRODUCT((Assumptions!$D$48:$D$54&lt;=A12)*Assumptions!$F$48:$F$54)</f>
        <v>0</v>
      </c>
      <c r="M12" s="15">
        <f>IF(A12&lt;=Assumptions!$B$5,(I12+K12)*Assumptions!$B$10,0)</f>
        <v>1400</v>
      </c>
      <c r="N12" s="15">
        <f t="shared" si="2"/>
        <v>15400</v>
      </c>
      <c r="O12" s="15">
        <f t="shared" si="3"/>
        <v>-15400</v>
      </c>
      <c r="P12" s="15">
        <f t="shared" si="4"/>
        <v>-40920</v>
      </c>
    </row>
    <row r="13" spans="1:16" x14ac:dyDescent="0.3">
      <c r="A13" s="26">
        <v>10</v>
      </c>
      <c r="B13" s="5" t="str">
        <f t="shared" si="0"/>
        <v>Year 0</v>
      </c>
      <c r="C13" s="5">
        <f t="shared" si="1"/>
        <v>0</v>
      </c>
      <c r="D13" s="27">
        <f>IF(A13=Assumptions!$B$5,1,0)+IF(AND(A13&gt;Assumptions!$B$5,C13&gt;0),INDEX(Assumptions!$B$35:$B$39,C13),0)</f>
        <v>0</v>
      </c>
      <c r="E13" s="27">
        <f>E12*(1-Assumptions!$B$9)+D13</f>
        <v>0</v>
      </c>
      <c r="F13" s="15">
        <f>E13*Assumptions!$B$6</f>
        <v>0</v>
      </c>
      <c r="G13" s="15">
        <f>F13*Assumptions!$B$7</f>
        <v>0</v>
      </c>
      <c r="H13" s="15">
        <f>E13*Assumptions!$B$8</f>
        <v>0</v>
      </c>
      <c r="I13" s="15">
        <f>IF(A13&lt;=Assumptions!$B$5,Assumptions!$B$13+Assumptions!$B$14+Assumptions!$B$15+Assumptions!$B$16+IF(A13&gt;=Assumptions!$B$11,Assumptions!$B$17,0),SUM(Assumptions!$B$19:$B$24))</f>
        <v>2500</v>
      </c>
      <c r="J13" s="15">
        <f>IF(C13&gt;0,INDEX(Assumptions!$B$41:$B$45,C13),0)</f>
        <v>0</v>
      </c>
      <c r="K13" s="15">
        <f>SUMIF(Assumptions!$B$27:$B$31,A13,Assumptions!$C$27:$C$31)</f>
        <v>7500</v>
      </c>
      <c r="L13" s="15">
        <f>SUMPRODUCT((Assumptions!$D$48:$D$54&lt;=A13)*Assumptions!$F$48:$F$54)</f>
        <v>0</v>
      </c>
      <c r="M13" s="15">
        <f>IF(A13&lt;=Assumptions!$B$5,(I13+K13)*Assumptions!$B$10,0)</f>
        <v>1000</v>
      </c>
      <c r="N13" s="15">
        <f t="shared" si="2"/>
        <v>11000</v>
      </c>
      <c r="O13" s="15">
        <f t="shared" si="3"/>
        <v>-11000</v>
      </c>
      <c r="P13" s="15">
        <f t="shared" si="4"/>
        <v>-51920</v>
      </c>
    </row>
    <row r="14" spans="1:16" x14ac:dyDescent="0.3">
      <c r="A14" s="26">
        <v>11</v>
      </c>
      <c r="B14" s="5" t="str">
        <f t="shared" si="0"/>
        <v>Year 0</v>
      </c>
      <c r="C14" s="5">
        <f t="shared" si="1"/>
        <v>0</v>
      </c>
      <c r="D14" s="27">
        <f>IF(A14=Assumptions!$B$5,1,0)+IF(AND(A14&gt;Assumptions!$B$5,C14&gt;0),INDEX(Assumptions!$B$35:$B$39,C14),0)</f>
        <v>0</v>
      </c>
      <c r="E14" s="27">
        <f>E13*(1-Assumptions!$B$9)+D14</f>
        <v>0</v>
      </c>
      <c r="F14" s="15">
        <f>E14*Assumptions!$B$6</f>
        <v>0</v>
      </c>
      <c r="G14" s="15">
        <f>F14*Assumptions!$B$7</f>
        <v>0</v>
      </c>
      <c r="H14" s="15">
        <f>E14*Assumptions!$B$8</f>
        <v>0</v>
      </c>
      <c r="I14" s="15">
        <f>IF(A14&lt;=Assumptions!$B$5,Assumptions!$B$13+Assumptions!$B$14+Assumptions!$B$15+Assumptions!$B$16+IF(A14&gt;=Assumptions!$B$11,Assumptions!$B$17,0),SUM(Assumptions!$B$19:$B$24))</f>
        <v>2500</v>
      </c>
      <c r="J14" s="15">
        <f>IF(C14&gt;0,INDEX(Assumptions!$B$41:$B$45,C14),0)</f>
        <v>0</v>
      </c>
      <c r="K14" s="15">
        <f>SUMIF(Assumptions!$B$27:$B$31,A14,Assumptions!$C$27:$C$31)</f>
        <v>0</v>
      </c>
      <c r="L14" s="15">
        <f>SUMPRODUCT((Assumptions!$D$48:$D$54&lt;=A14)*Assumptions!$F$48:$F$54)</f>
        <v>0</v>
      </c>
      <c r="M14" s="15">
        <f>IF(A14&lt;=Assumptions!$B$5,(I14+K14)*Assumptions!$B$10,0)</f>
        <v>250</v>
      </c>
      <c r="N14" s="15">
        <f t="shared" si="2"/>
        <v>2750</v>
      </c>
      <c r="O14" s="15">
        <f t="shared" si="3"/>
        <v>-2750</v>
      </c>
      <c r="P14" s="15">
        <f t="shared" si="4"/>
        <v>-54670</v>
      </c>
    </row>
    <row r="15" spans="1:16" x14ac:dyDescent="0.3">
      <c r="A15" s="26">
        <v>12</v>
      </c>
      <c r="B15" s="5" t="str">
        <f t="shared" si="0"/>
        <v>Year 0</v>
      </c>
      <c r="C15" s="5">
        <f t="shared" si="1"/>
        <v>0</v>
      </c>
      <c r="D15" s="27">
        <f>IF(A15=Assumptions!$B$5,1,0)+IF(AND(A15&gt;Assumptions!$B$5,C15&gt;0),INDEX(Assumptions!$B$35:$B$39,C15),0)</f>
        <v>1</v>
      </c>
      <c r="E15" s="27">
        <f>E14*(1-Assumptions!$B$9)+D15</f>
        <v>1</v>
      </c>
      <c r="F15" s="15">
        <f>E15*Assumptions!$B$6</f>
        <v>2500</v>
      </c>
      <c r="G15" s="15">
        <f>F15*Assumptions!$B$7</f>
        <v>250</v>
      </c>
      <c r="H15" s="15">
        <f>E15*Assumptions!$B$8</f>
        <v>145</v>
      </c>
      <c r="I15" s="15">
        <f>IF(A15&lt;=Assumptions!$B$5,Assumptions!$B$13+Assumptions!$B$14+Assumptions!$B$15+Assumptions!$B$16+IF(A15&gt;=Assumptions!$B$11,Assumptions!$B$17,0),SUM(Assumptions!$B$19:$B$24))</f>
        <v>2500</v>
      </c>
      <c r="J15" s="15">
        <f>IF(C15&gt;0,INDEX(Assumptions!$B$41:$B$45,C15),0)</f>
        <v>0</v>
      </c>
      <c r="K15" s="15">
        <f>SUMIF(Assumptions!$B$27:$B$31,A15,Assumptions!$C$27:$C$31)</f>
        <v>0</v>
      </c>
      <c r="L15" s="15">
        <f>SUMPRODUCT((Assumptions!$D$48:$D$54&lt;=A15)*Assumptions!$F$48:$F$54)</f>
        <v>0</v>
      </c>
      <c r="M15" s="15">
        <f>IF(A15&lt;=Assumptions!$B$5,(I15+K15)*Assumptions!$B$10,0)</f>
        <v>250</v>
      </c>
      <c r="N15" s="15">
        <f t="shared" si="2"/>
        <v>3145</v>
      </c>
      <c r="O15" s="15">
        <f t="shared" si="3"/>
        <v>-645</v>
      </c>
      <c r="P15" s="15">
        <f t="shared" si="4"/>
        <v>-55315</v>
      </c>
    </row>
    <row r="16" spans="1:16" x14ac:dyDescent="0.3">
      <c r="A16" s="26">
        <v>13</v>
      </c>
      <c r="B16" s="5" t="str">
        <f t="shared" si="0"/>
        <v>Year 1</v>
      </c>
      <c r="C16" s="5">
        <f t="shared" si="1"/>
        <v>1</v>
      </c>
      <c r="D16" s="27">
        <f>IF(A16=Assumptions!$B$5,1,0)+IF(AND(A16&gt;Assumptions!$B$5,C16&gt;0),INDEX(Assumptions!$B$35:$B$39,C16),0)</f>
        <v>0.5</v>
      </c>
      <c r="E16" s="27">
        <f>E15*(1-Assumptions!$B$9)+D16</f>
        <v>1.4849999999999999</v>
      </c>
      <c r="F16" s="15">
        <f>E16*Assumptions!$B$6</f>
        <v>3712.4999999999995</v>
      </c>
      <c r="G16" s="15">
        <f>F16*Assumptions!$B$7</f>
        <v>371.25</v>
      </c>
      <c r="H16" s="15">
        <f>E16*Assumptions!$B$8</f>
        <v>215.32499999999999</v>
      </c>
      <c r="I16" s="15">
        <f>IF(A16&lt;=Assumptions!$B$5,Assumptions!$B$13+Assumptions!$B$14+Assumptions!$B$15+Assumptions!$B$16+IF(A16&gt;=Assumptions!$B$11,Assumptions!$B$17,0),SUM(Assumptions!$B$19:$B$24))</f>
        <v>5200</v>
      </c>
      <c r="J16" s="15">
        <f>IF(C16&gt;0,INDEX(Assumptions!$B$41:$B$45,C16),0)</f>
        <v>0</v>
      </c>
      <c r="K16" s="15">
        <f>SUMIF(Assumptions!$B$27:$B$31,A16,Assumptions!$C$27:$C$31)</f>
        <v>0</v>
      </c>
      <c r="L16" s="15">
        <f>SUMPRODUCT((Assumptions!$D$48:$D$54&lt;=A16)*Assumptions!$F$48:$F$54)</f>
        <v>0</v>
      </c>
      <c r="M16" s="15">
        <f>IF(A16&lt;=Assumptions!$B$5,(I16+K16)*Assumptions!$B$10,0)</f>
        <v>0</v>
      </c>
      <c r="N16" s="15">
        <f t="shared" si="2"/>
        <v>5786.5749999999998</v>
      </c>
      <c r="O16" s="15">
        <f t="shared" si="3"/>
        <v>-2074.0750000000003</v>
      </c>
      <c r="P16" s="15">
        <f t="shared" si="4"/>
        <v>-57389.074999999997</v>
      </c>
    </row>
    <row r="17" spans="1:16" x14ac:dyDescent="0.3">
      <c r="A17" s="26">
        <v>14</v>
      </c>
      <c r="B17" s="5" t="str">
        <f t="shared" si="0"/>
        <v>Year 1</v>
      </c>
      <c r="C17" s="5">
        <f t="shared" si="1"/>
        <v>1</v>
      </c>
      <c r="D17" s="27">
        <f>IF(A17=Assumptions!$B$5,1,0)+IF(AND(A17&gt;Assumptions!$B$5,C17&gt;0),INDEX(Assumptions!$B$35:$B$39,C17),0)</f>
        <v>0.5</v>
      </c>
      <c r="E17" s="27">
        <f>E16*(1-Assumptions!$B$9)+D17</f>
        <v>1.9627249999999998</v>
      </c>
      <c r="F17" s="15">
        <f>E17*Assumptions!$B$6</f>
        <v>4906.8125</v>
      </c>
      <c r="G17" s="15">
        <f>F17*Assumptions!$B$7</f>
        <v>490.68125000000003</v>
      </c>
      <c r="H17" s="15">
        <f>E17*Assumptions!$B$8</f>
        <v>284.595125</v>
      </c>
      <c r="I17" s="15">
        <f>IF(A17&lt;=Assumptions!$B$5,Assumptions!$B$13+Assumptions!$B$14+Assumptions!$B$15+Assumptions!$B$16+IF(A17&gt;=Assumptions!$B$11,Assumptions!$B$17,0),SUM(Assumptions!$B$19:$B$24))</f>
        <v>5200</v>
      </c>
      <c r="J17" s="15">
        <f>IF(C17&gt;0,INDEX(Assumptions!$B$41:$B$45,C17),0)</f>
        <v>0</v>
      </c>
      <c r="K17" s="15">
        <f>SUMIF(Assumptions!$B$27:$B$31,A17,Assumptions!$C$27:$C$31)</f>
        <v>0</v>
      </c>
      <c r="L17" s="15">
        <f>SUMPRODUCT((Assumptions!$D$48:$D$54&lt;=A17)*Assumptions!$F$48:$F$54)</f>
        <v>0</v>
      </c>
      <c r="M17" s="15">
        <f>IF(A17&lt;=Assumptions!$B$5,(I17+K17)*Assumptions!$B$10,0)</f>
        <v>0</v>
      </c>
      <c r="N17" s="15">
        <f t="shared" si="2"/>
        <v>5975.2763750000004</v>
      </c>
      <c r="O17" s="15">
        <f t="shared" si="3"/>
        <v>-1068.4638750000004</v>
      </c>
      <c r="P17" s="15">
        <f t="shared" si="4"/>
        <v>-58457.538874999998</v>
      </c>
    </row>
    <row r="18" spans="1:16" x14ac:dyDescent="0.3">
      <c r="A18" s="26">
        <v>15</v>
      </c>
      <c r="B18" s="5" t="str">
        <f t="shared" si="0"/>
        <v>Year 1</v>
      </c>
      <c r="C18" s="5">
        <f t="shared" si="1"/>
        <v>1</v>
      </c>
      <c r="D18" s="27">
        <f>IF(A18=Assumptions!$B$5,1,0)+IF(AND(A18&gt;Assumptions!$B$5,C18&gt;0),INDEX(Assumptions!$B$35:$B$39,C18),0)</f>
        <v>0.5</v>
      </c>
      <c r="E18" s="27">
        <f>E17*(1-Assumptions!$B$9)+D18</f>
        <v>2.4332841250000001</v>
      </c>
      <c r="F18" s="15">
        <f>E18*Assumptions!$B$6</f>
        <v>6083.2103125000003</v>
      </c>
      <c r="G18" s="15">
        <f>F18*Assumptions!$B$7</f>
        <v>608.32103125000003</v>
      </c>
      <c r="H18" s="15">
        <f>E18*Assumptions!$B$8</f>
        <v>352.82619812500002</v>
      </c>
      <c r="I18" s="15">
        <f>IF(A18&lt;=Assumptions!$B$5,Assumptions!$B$13+Assumptions!$B$14+Assumptions!$B$15+Assumptions!$B$16+IF(A18&gt;=Assumptions!$B$11,Assumptions!$B$17,0),SUM(Assumptions!$B$19:$B$24))</f>
        <v>5200</v>
      </c>
      <c r="J18" s="15">
        <f>IF(C18&gt;0,INDEX(Assumptions!$B$41:$B$45,C18),0)</f>
        <v>0</v>
      </c>
      <c r="K18" s="15">
        <f>SUMIF(Assumptions!$B$27:$B$31,A18,Assumptions!$C$27:$C$31)</f>
        <v>0</v>
      </c>
      <c r="L18" s="15">
        <f>SUMPRODUCT((Assumptions!$D$48:$D$54&lt;=A18)*Assumptions!$F$48:$F$54)</f>
        <v>0</v>
      </c>
      <c r="M18" s="15">
        <f>IF(A18&lt;=Assumptions!$B$5,(I18+K18)*Assumptions!$B$10,0)</f>
        <v>0</v>
      </c>
      <c r="N18" s="15">
        <f t="shared" si="2"/>
        <v>6161.1472293750003</v>
      </c>
      <c r="O18" s="15">
        <f t="shared" si="3"/>
        <v>-77.936916874999952</v>
      </c>
      <c r="P18" s="15">
        <f t="shared" si="4"/>
        <v>-58535.475791874997</v>
      </c>
    </row>
    <row r="19" spans="1:16" x14ac:dyDescent="0.3">
      <c r="A19" s="26">
        <v>16</v>
      </c>
      <c r="B19" s="5" t="str">
        <f t="shared" si="0"/>
        <v>Year 1</v>
      </c>
      <c r="C19" s="5">
        <f t="shared" si="1"/>
        <v>1</v>
      </c>
      <c r="D19" s="27">
        <f>IF(A19=Assumptions!$B$5,1,0)+IF(AND(A19&gt;Assumptions!$B$5,C19&gt;0),INDEX(Assumptions!$B$35:$B$39,C19),0)</f>
        <v>0.5</v>
      </c>
      <c r="E19" s="27">
        <f>E18*(1-Assumptions!$B$9)+D19</f>
        <v>2.8967848631250002</v>
      </c>
      <c r="F19" s="15">
        <f>E19*Assumptions!$B$6</f>
        <v>7241.9621578125007</v>
      </c>
      <c r="G19" s="15">
        <f>F19*Assumptions!$B$7</f>
        <v>724.19621578125009</v>
      </c>
      <c r="H19" s="15">
        <f>E19*Assumptions!$B$8</f>
        <v>420.033805153125</v>
      </c>
      <c r="I19" s="15">
        <f>IF(A19&lt;=Assumptions!$B$5,Assumptions!$B$13+Assumptions!$B$14+Assumptions!$B$15+Assumptions!$B$16+IF(A19&gt;=Assumptions!$B$11,Assumptions!$B$17,0),SUM(Assumptions!$B$19:$B$24))</f>
        <v>5200</v>
      </c>
      <c r="J19" s="15">
        <f>IF(C19&gt;0,INDEX(Assumptions!$B$41:$B$45,C19),0)</f>
        <v>0</v>
      </c>
      <c r="K19" s="15">
        <f>SUMIF(Assumptions!$B$27:$B$31,A19,Assumptions!$C$27:$C$31)</f>
        <v>0</v>
      </c>
      <c r="L19" s="15">
        <f>SUMPRODUCT((Assumptions!$D$48:$D$54&lt;=A19)*Assumptions!$F$48:$F$54)</f>
        <v>0</v>
      </c>
      <c r="M19" s="15">
        <f>IF(A19&lt;=Assumptions!$B$5,(I19+K19)*Assumptions!$B$10,0)</f>
        <v>0</v>
      </c>
      <c r="N19" s="15">
        <f t="shared" si="2"/>
        <v>6344.2300209343748</v>
      </c>
      <c r="O19" s="15">
        <f t="shared" si="3"/>
        <v>897.73213687812586</v>
      </c>
      <c r="P19" s="15">
        <f t="shared" si="4"/>
        <v>-57637.74365499687</v>
      </c>
    </row>
    <row r="20" spans="1:16" x14ac:dyDescent="0.3">
      <c r="A20" s="26">
        <v>17</v>
      </c>
      <c r="B20" s="5" t="str">
        <f t="shared" si="0"/>
        <v>Year 1</v>
      </c>
      <c r="C20" s="5">
        <f t="shared" si="1"/>
        <v>1</v>
      </c>
      <c r="D20" s="27">
        <f>IF(A20=Assumptions!$B$5,1,0)+IF(AND(A20&gt;Assumptions!$B$5,C20&gt;0),INDEX(Assumptions!$B$35:$B$39,C20),0)</f>
        <v>0.5</v>
      </c>
      <c r="E20" s="27">
        <f>E19*(1-Assumptions!$B$9)+D20</f>
        <v>3.3533330901781251</v>
      </c>
      <c r="F20" s="15">
        <f>E20*Assumptions!$B$6</f>
        <v>8383.3327254453125</v>
      </c>
      <c r="G20" s="15">
        <f>F20*Assumptions!$B$7</f>
        <v>838.33327254453127</v>
      </c>
      <c r="H20" s="15">
        <f>E20*Assumptions!$B$8</f>
        <v>486.23329807582815</v>
      </c>
      <c r="I20" s="15">
        <f>IF(A20&lt;=Assumptions!$B$5,Assumptions!$B$13+Assumptions!$B$14+Assumptions!$B$15+Assumptions!$B$16+IF(A20&gt;=Assumptions!$B$11,Assumptions!$B$17,0),SUM(Assumptions!$B$19:$B$24))</f>
        <v>5200</v>
      </c>
      <c r="J20" s="15">
        <f>IF(C20&gt;0,INDEX(Assumptions!$B$41:$B$45,C20),0)</f>
        <v>0</v>
      </c>
      <c r="K20" s="15">
        <f>SUMIF(Assumptions!$B$27:$B$31,A20,Assumptions!$C$27:$C$31)</f>
        <v>0</v>
      </c>
      <c r="L20" s="15">
        <f>SUMPRODUCT((Assumptions!$D$48:$D$54&lt;=A20)*Assumptions!$F$48:$F$54)</f>
        <v>0</v>
      </c>
      <c r="M20" s="15">
        <f>IF(A20&lt;=Assumptions!$B$5,(I20+K20)*Assumptions!$B$10,0)</f>
        <v>0</v>
      </c>
      <c r="N20" s="15">
        <f t="shared" si="2"/>
        <v>6524.5665706203599</v>
      </c>
      <c r="O20" s="15">
        <f t="shared" si="3"/>
        <v>1858.7661548249525</v>
      </c>
      <c r="P20" s="15">
        <f t="shared" si="4"/>
        <v>-55778.977500171917</v>
      </c>
    </row>
    <row r="21" spans="1:16" x14ac:dyDescent="0.3">
      <c r="A21" s="26">
        <v>18</v>
      </c>
      <c r="B21" s="5" t="str">
        <f t="shared" si="0"/>
        <v>Year 1</v>
      </c>
      <c r="C21" s="5">
        <f t="shared" si="1"/>
        <v>1</v>
      </c>
      <c r="D21" s="27">
        <f>IF(A21=Assumptions!$B$5,1,0)+IF(AND(A21&gt;Assumptions!$B$5,C21&gt;0),INDEX(Assumptions!$B$35:$B$39,C21),0)</f>
        <v>0.5</v>
      </c>
      <c r="E21" s="27">
        <f>E20*(1-Assumptions!$B$9)+D21</f>
        <v>3.8030330938254533</v>
      </c>
      <c r="F21" s="15">
        <f>E21*Assumptions!$B$6</f>
        <v>9507.5827345636335</v>
      </c>
      <c r="G21" s="15">
        <f>F21*Assumptions!$B$7</f>
        <v>950.75827345636344</v>
      </c>
      <c r="H21" s="15">
        <f>E21*Assumptions!$B$8</f>
        <v>551.43979860469074</v>
      </c>
      <c r="I21" s="15">
        <f>IF(A21&lt;=Assumptions!$B$5,Assumptions!$B$13+Assumptions!$B$14+Assumptions!$B$15+Assumptions!$B$16+IF(A21&gt;=Assumptions!$B$11,Assumptions!$B$17,0),SUM(Assumptions!$B$19:$B$24))</f>
        <v>5200</v>
      </c>
      <c r="J21" s="15">
        <f>IF(C21&gt;0,INDEX(Assumptions!$B$41:$B$45,C21),0)</f>
        <v>0</v>
      </c>
      <c r="K21" s="15">
        <f>SUMIF(Assumptions!$B$27:$B$31,A21,Assumptions!$C$27:$C$31)</f>
        <v>0</v>
      </c>
      <c r="L21" s="15">
        <f>SUMPRODUCT((Assumptions!$D$48:$D$54&lt;=A21)*Assumptions!$F$48:$F$54)</f>
        <v>0</v>
      </c>
      <c r="M21" s="15">
        <f>IF(A21&lt;=Assumptions!$B$5,(I21+K21)*Assumptions!$B$10,0)</f>
        <v>0</v>
      </c>
      <c r="N21" s="15">
        <f t="shared" si="2"/>
        <v>6702.1980720610536</v>
      </c>
      <c r="O21" s="15">
        <f t="shared" si="3"/>
        <v>2805.3846625025799</v>
      </c>
      <c r="P21" s="15">
        <f t="shared" si="4"/>
        <v>-52973.592837669334</v>
      </c>
    </row>
    <row r="22" spans="1:16" x14ac:dyDescent="0.3">
      <c r="A22" s="26">
        <v>19</v>
      </c>
      <c r="B22" s="5" t="str">
        <f t="shared" si="0"/>
        <v>Year 1</v>
      </c>
      <c r="C22" s="5">
        <f t="shared" si="1"/>
        <v>1</v>
      </c>
      <c r="D22" s="27">
        <f>IF(A22=Assumptions!$B$5,1,0)+IF(AND(A22&gt;Assumptions!$B$5,C22&gt;0),INDEX(Assumptions!$B$35:$B$39,C22),0)</f>
        <v>0.5</v>
      </c>
      <c r="E22" s="27">
        <f>E21*(1-Assumptions!$B$9)+D22</f>
        <v>4.2459875974180719</v>
      </c>
      <c r="F22" s="15">
        <f>E22*Assumptions!$B$6</f>
        <v>10614.968993545179</v>
      </c>
      <c r="G22" s="15">
        <f>F22*Assumptions!$B$7</f>
        <v>1061.4968993545178</v>
      </c>
      <c r="H22" s="15">
        <f>E22*Assumptions!$B$8</f>
        <v>615.66820162562044</v>
      </c>
      <c r="I22" s="15">
        <f>IF(A22&lt;=Assumptions!$B$5,Assumptions!$B$13+Assumptions!$B$14+Assumptions!$B$15+Assumptions!$B$16+IF(A22&gt;=Assumptions!$B$11,Assumptions!$B$17,0),SUM(Assumptions!$B$19:$B$24))</f>
        <v>5200</v>
      </c>
      <c r="J22" s="15">
        <f>IF(C22&gt;0,INDEX(Assumptions!$B$41:$B$45,C22),0)</f>
        <v>0</v>
      </c>
      <c r="K22" s="15">
        <f>SUMIF(Assumptions!$B$27:$B$31,A22,Assumptions!$C$27:$C$31)</f>
        <v>0</v>
      </c>
      <c r="L22" s="15">
        <f>SUMPRODUCT((Assumptions!$D$48:$D$54&lt;=A22)*Assumptions!$F$48:$F$54)</f>
        <v>0</v>
      </c>
      <c r="M22" s="15">
        <f>IF(A22&lt;=Assumptions!$B$5,(I22+K22)*Assumptions!$B$10,0)</f>
        <v>0</v>
      </c>
      <c r="N22" s="15">
        <f t="shared" si="2"/>
        <v>6877.165100980138</v>
      </c>
      <c r="O22" s="15">
        <f t="shared" si="3"/>
        <v>3737.8038925650408</v>
      </c>
      <c r="P22" s="15">
        <f t="shared" si="4"/>
        <v>-49235.788945104294</v>
      </c>
    </row>
    <row r="23" spans="1:16" x14ac:dyDescent="0.3">
      <c r="A23" s="26">
        <v>20</v>
      </c>
      <c r="B23" s="5" t="str">
        <f t="shared" si="0"/>
        <v>Year 1</v>
      </c>
      <c r="C23" s="5">
        <f t="shared" si="1"/>
        <v>1</v>
      </c>
      <c r="D23" s="27">
        <f>IF(A23=Assumptions!$B$5,1,0)+IF(AND(A23&gt;Assumptions!$B$5,C23&gt;0),INDEX(Assumptions!$B$35:$B$39,C23),0)</f>
        <v>0.5</v>
      </c>
      <c r="E23" s="27">
        <f>E22*(1-Assumptions!$B$9)+D23</f>
        <v>4.6822977834568009</v>
      </c>
      <c r="F23" s="15">
        <f>E23*Assumptions!$B$6</f>
        <v>11705.744458642002</v>
      </c>
      <c r="G23" s="15">
        <f>F23*Assumptions!$B$7</f>
        <v>1170.5744458642002</v>
      </c>
      <c r="H23" s="15">
        <f>E23*Assumptions!$B$8</f>
        <v>678.93317860123614</v>
      </c>
      <c r="I23" s="15">
        <f>IF(A23&lt;=Assumptions!$B$5,Assumptions!$B$13+Assumptions!$B$14+Assumptions!$B$15+Assumptions!$B$16+IF(A23&gt;=Assumptions!$B$11,Assumptions!$B$17,0),SUM(Assumptions!$B$19:$B$24))</f>
        <v>5200</v>
      </c>
      <c r="J23" s="15">
        <f>IF(C23&gt;0,INDEX(Assumptions!$B$41:$B$45,C23),0)</f>
        <v>0</v>
      </c>
      <c r="K23" s="15">
        <f>SUMIF(Assumptions!$B$27:$B$31,A23,Assumptions!$C$27:$C$31)</f>
        <v>0</v>
      </c>
      <c r="L23" s="15">
        <f>SUMPRODUCT((Assumptions!$D$48:$D$54&lt;=A23)*Assumptions!$F$48:$F$54)</f>
        <v>0</v>
      </c>
      <c r="M23" s="15">
        <f>IF(A23&lt;=Assumptions!$B$5,(I23+K23)*Assumptions!$B$10,0)</f>
        <v>0</v>
      </c>
      <c r="N23" s="15">
        <f t="shared" si="2"/>
        <v>7049.5076244654365</v>
      </c>
      <c r="O23" s="15">
        <f t="shared" si="3"/>
        <v>4656.2368341765659</v>
      </c>
      <c r="P23" s="15">
        <f t="shared" si="4"/>
        <v>-44579.552110927725</v>
      </c>
    </row>
    <row r="24" spans="1:16" x14ac:dyDescent="0.3">
      <c r="A24" s="26">
        <v>21</v>
      </c>
      <c r="B24" s="5" t="str">
        <f t="shared" si="0"/>
        <v>Year 1</v>
      </c>
      <c r="C24" s="5">
        <f t="shared" si="1"/>
        <v>1</v>
      </c>
      <c r="D24" s="27">
        <f>IF(A24=Assumptions!$B$5,1,0)+IF(AND(A24&gt;Assumptions!$B$5,C24&gt;0),INDEX(Assumptions!$B$35:$B$39,C24),0)</f>
        <v>0.5</v>
      </c>
      <c r="E24" s="27">
        <f>E23*(1-Assumptions!$B$9)+D24</f>
        <v>5.1120633167049485</v>
      </c>
      <c r="F24" s="15">
        <f>E24*Assumptions!$B$6</f>
        <v>12780.158291762371</v>
      </c>
      <c r="G24" s="15">
        <f>F24*Assumptions!$B$7</f>
        <v>1278.0158291762373</v>
      </c>
      <c r="H24" s="15">
        <f>E24*Assumptions!$B$8</f>
        <v>741.24918092221753</v>
      </c>
      <c r="I24" s="15">
        <f>IF(A24&lt;=Assumptions!$B$5,Assumptions!$B$13+Assumptions!$B$14+Assumptions!$B$15+Assumptions!$B$16+IF(A24&gt;=Assumptions!$B$11,Assumptions!$B$17,0),SUM(Assumptions!$B$19:$B$24))</f>
        <v>5200</v>
      </c>
      <c r="J24" s="15">
        <f>IF(C24&gt;0,INDEX(Assumptions!$B$41:$B$45,C24),0)</f>
        <v>0</v>
      </c>
      <c r="K24" s="15">
        <f>SUMIF(Assumptions!$B$27:$B$31,A24,Assumptions!$C$27:$C$31)</f>
        <v>0</v>
      </c>
      <c r="L24" s="15">
        <f>SUMPRODUCT((Assumptions!$D$48:$D$54&lt;=A24)*Assumptions!$F$48:$F$54)</f>
        <v>0</v>
      </c>
      <c r="M24" s="15">
        <f>IF(A24&lt;=Assumptions!$B$5,(I24+K24)*Assumptions!$B$10,0)</f>
        <v>0</v>
      </c>
      <c r="N24" s="15">
        <f t="shared" si="2"/>
        <v>7219.2650100984547</v>
      </c>
      <c r="O24" s="15">
        <f t="shared" si="3"/>
        <v>5560.8932816639162</v>
      </c>
      <c r="P24" s="15">
        <f t="shared" si="4"/>
        <v>-39018.658829263812</v>
      </c>
    </row>
    <row r="25" spans="1:16" x14ac:dyDescent="0.3">
      <c r="A25" s="26">
        <v>22</v>
      </c>
      <c r="B25" s="5" t="str">
        <f t="shared" si="0"/>
        <v>Year 1</v>
      </c>
      <c r="C25" s="5">
        <f t="shared" si="1"/>
        <v>1</v>
      </c>
      <c r="D25" s="27">
        <f>IF(A25=Assumptions!$B$5,1,0)+IF(AND(A25&gt;Assumptions!$B$5,C25&gt;0),INDEX(Assumptions!$B$35:$B$39,C25),0)</f>
        <v>0.5</v>
      </c>
      <c r="E25" s="27">
        <f>E24*(1-Assumptions!$B$9)+D25</f>
        <v>5.5353823669543738</v>
      </c>
      <c r="F25" s="15">
        <f>E25*Assumptions!$B$6</f>
        <v>13838.455917385934</v>
      </c>
      <c r="G25" s="15">
        <f>F25*Assumptions!$B$7</f>
        <v>1383.8455917385936</v>
      </c>
      <c r="H25" s="15">
        <f>E25*Assumptions!$B$8</f>
        <v>802.63044320838424</v>
      </c>
      <c r="I25" s="15">
        <f>IF(A25&lt;=Assumptions!$B$5,Assumptions!$B$13+Assumptions!$B$14+Assumptions!$B$15+Assumptions!$B$16+IF(A25&gt;=Assumptions!$B$11,Assumptions!$B$17,0),SUM(Assumptions!$B$19:$B$24))</f>
        <v>5200</v>
      </c>
      <c r="J25" s="15">
        <f>IF(C25&gt;0,INDEX(Assumptions!$B$41:$B$45,C25),0)</f>
        <v>0</v>
      </c>
      <c r="K25" s="15">
        <f>SUMIF(Assumptions!$B$27:$B$31,A25,Assumptions!$C$27:$C$31)</f>
        <v>0</v>
      </c>
      <c r="L25" s="15">
        <f>SUMPRODUCT((Assumptions!$D$48:$D$54&lt;=A25)*Assumptions!$F$48:$F$54)</f>
        <v>0</v>
      </c>
      <c r="M25" s="15">
        <f>IF(A25&lt;=Assumptions!$B$5,(I25+K25)*Assumptions!$B$10,0)</f>
        <v>0</v>
      </c>
      <c r="N25" s="15">
        <f t="shared" si="2"/>
        <v>7386.476034946978</v>
      </c>
      <c r="O25" s="15">
        <f t="shared" si="3"/>
        <v>6451.9798824389563</v>
      </c>
      <c r="P25" s="15">
        <f t="shared" si="4"/>
        <v>-32566.678946824853</v>
      </c>
    </row>
    <row r="26" spans="1:16" x14ac:dyDescent="0.3">
      <c r="A26" s="26">
        <v>23</v>
      </c>
      <c r="B26" s="5" t="str">
        <f t="shared" si="0"/>
        <v>Year 1</v>
      </c>
      <c r="C26" s="5">
        <f t="shared" si="1"/>
        <v>1</v>
      </c>
      <c r="D26" s="27">
        <f>IF(A26=Assumptions!$B$5,1,0)+IF(AND(A26&gt;Assumptions!$B$5,C26&gt;0),INDEX(Assumptions!$B$35:$B$39,C26),0)</f>
        <v>0.5</v>
      </c>
      <c r="E26" s="27">
        <f>E25*(1-Assumptions!$B$9)+D26</f>
        <v>5.9523516314500577</v>
      </c>
      <c r="F26" s="15">
        <f>E26*Assumptions!$B$6</f>
        <v>14880.879078625145</v>
      </c>
      <c r="G26" s="15">
        <f>F26*Assumptions!$B$7</f>
        <v>1488.0879078625146</v>
      </c>
      <c r="H26" s="15">
        <f>E26*Assumptions!$B$8</f>
        <v>863.09098656025833</v>
      </c>
      <c r="I26" s="15">
        <f>IF(A26&lt;=Assumptions!$B$5,Assumptions!$B$13+Assumptions!$B$14+Assumptions!$B$15+Assumptions!$B$16+IF(A26&gt;=Assumptions!$B$11,Assumptions!$B$17,0),SUM(Assumptions!$B$19:$B$24))</f>
        <v>5200</v>
      </c>
      <c r="J26" s="15">
        <f>IF(C26&gt;0,INDEX(Assumptions!$B$41:$B$45,C26),0)</f>
        <v>0</v>
      </c>
      <c r="K26" s="15">
        <f>SUMIF(Assumptions!$B$27:$B$31,A26,Assumptions!$C$27:$C$31)</f>
        <v>0</v>
      </c>
      <c r="L26" s="15">
        <f>SUMPRODUCT((Assumptions!$D$48:$D$54&lt;=A26)*Assumptions!$F$48:$F$54)</f>
        <v>0</v>
      </c>
      <c r="M26" s="15">
        <f>IF(A26&lt;=Assumptions!$B$5,(I26+K26)*Assumptions!$B$10,0)</f>
        <v>0</v>
      </c>
      <c r="N26" s="15">
        <f t="shared" si="2"/>
        <v>7551.1788944227728</v>
      </c>
      <c r="O26" s="15">
        <f t="shared" si="3"/>
        <v>7329.7001842023719</v>
      </c>
      <c r="P26" s="15">
        <f t="shared" si="4"/>
        <v>-25236.978762622482</v>
      </c>
    </row>
    <row r="27" spans="1:16" x14ac:dyDescent="0.3">
      <c r="A27" s="26">
        <v>24</v>
      </c>
      <c r="B27" s="5" t="str">
        <f t="shared" si="0"/>
        <v>Year 1</v>
      </c>
      <c r="C27" s="5">
        <f t="shared" si="1"/>
        <v>1</v>
      </c>
      <c r="D27" s="27">
        <f>IF(A27=Assumptions!$B$5,1,0)+IF(AND(A27&gt;Assumptions!$B$5,C27&gt;0),INDEX(Assumptions!$B$35:$B$39,C27),0)</f>
        <v>0.5</v>
      </c>
      <c r="E27" s="27">
        <f>E26*(1-Assumptions!$B$9)+D27</f>
        <v>6.3630663569783064</v>
      </c>
      <c r="F27" s="15">
        <f>E27*Assumptions!$B$6</f>
        <v>15907.665892445766</v>
      </c>
      <c r="G27" s="15">
        <f>F27*Assumptions!$B$7</f>
        <v>1590.7665892445766</v>
      </c>
      <c r="H27" s="15">
        <f>E27*Assumptions!$B$8</f>
        <v>922.64462176185441</v>
      </c>
      <c r="I27" s="15">
        <f>IF(A27&lt;=Assumptions!$B$5,Assumptions!$B$13+Assumptions!$B$14+Assumptions!$B$15+Assumptions!$B$16+IF(A27&gt;=Assumptions!$B$11,Assumptions!$B$17,0),SUM(Assumptions!$B$19:$B$24))</f>
        <v>5200</v>
      </c>
      <c r="J27" s="15">
        <f>IF(C27&gt;0,INDEX(Assumptions!$B$41:$B$45,C27),0)</f>
        <v>0</v>
      </c>
      <c r="K27" s="15">
        <f>SUMIF(Assumptions!$B$27:$B$31,A27,Assumptions!$C$27:$C$31)</f>
        <v>0</v>
      </c>
      <c r="L27" s="15">
        <f>SUMPRODUCT((Assumptions!$D$48:$D$54&lt;=A27)*Assumptions!$F$48:$F$54)</f>
        <v>0</v>
      </c>
      <c r="M27" s="15">
        <f>IF(A27&lt;=Assumptions!$B$5,(I27+K27)*Assumptions!$B$10,0)</f>
        <v>0</v>
      </c>
      <c r="N27" s="15">
        <f t="shared" si="2"/>
        <v>7713.4112110064307</v>
      </c>
      <c r="O27" s="15">
        <f t="shared" si="3"/>
        <v>8194.2546814393354</v>
      </c>
      <c r="P27" s="15">
        <f t="shared" si="4"/>
        <v>-17042.724081183147</v>
      </c>
    </row>
    <row r="28" spans="1:16" x14ac:dyDescent="0.3">
      <c r="A28" s="26">
        <v>25</v>
      </c>
      <c r="B28" s="5" t="str">
        <f t="shared" si="0"/>
        <v>Year 2</v>
      </c>
      <c r="C28" s="5">
        <f t="shared" si="1"/>
        <v>2</v>
      </c>
      <c r="D28" s="27">
        <f>IF(A28=Assumptions!$B$5,1,0)+IF(AND(A28&gt;Assumptions!$B$5,C28&gt;0),INDEX(Assumptions!$B$35:$B$39,C28),0)</f>
        <v>0.75</v>
      </c>
      <c r="E28" s="27">
        <f>E27*(1-Assumptions!$B$9)+D28</f>
        <v>7.0176203616236315</v>
      </c>
      <c r="F28" s="15">
        <f>E28*Assumptions!$B$6</f>
        <v>17544.050904059077</v>
      </c>
      <c r="G28" s="15">
        <f>F28*Assumptions!$B$7</f>
        <v>1754.4050904059077</v>
      </c>
      <c r="H28" s="15">
        <f>E28*Assumptions!$B$8</f>
        <v>1017.5549524354266</v>
      </c>
      <c r="I28" s="15">
        <f>IF(A28&lt;=Assumptions!$B$5,Assumptions!$B$13+Assumptions!$B$14+Assumptions!$B$15+Assumptions!$B$16+IF(A28&gt;=Assumptions!$B$11,Assumptions!$B$17,0),SUM(Assumptions!$B$19:$B$24))</f>
        <v>5200</v>
      </c>
      <c r="J28" s="15">
        <f>IF(C28&gt;0,INDEX(Assumptions!$B$41:$B$45,C28),0)</f>
        <v>0</v>
      </c>
      <c r="K28" s="15">
        <f>SUMIF(Assumptions!$B$27:$B$31,A28,Assumptions!$C$27:$C$31)</f>
        <v>0</v>
      </c>
      <c r="L28" s="15">
        <f>SUMPRODUCT((Assumptions!$D$48:$D$54&lt;=A28)*Assumptions!$F$48:$F$54)</f>
        <v>0</v>
      </c>
      <c r="M28" s="15">
        <f>IF(A28&lt;=Assumptions!$B$5,(I28+K28)*Assumptions!$B$10,0)</f>
        <v>0</v>
      </c>
      <c r="N28" s="15">
        <f t="shared" si="2"/>
        <v>7971.9600428413341</v>
      </c>
      <c r="O28" s="15">
        <f t="shared" si="3"/>
        <v>9572.0908612177427</v>
      </c>
      <c r="P28" s="15">
        <f t="shared" si="4"/>
        <v>-7470.6332199654044</v>
      </c>
    </row>
    <row r="29" spans="1:16" x14ac:dyDescent="0.3">
      <c r="A29" s="26">
        <v>26</v>
      </c>
      <c r="B29" s="5" t="str">
        <f t="shared" si="0"/>
        <v>Year 2</v>
      </c>
      <c r="C29" s="5">
        <f t="shared" si="1"/>
        <v>2</v>
      </c>
      <c r="D29" s="27">
        <f>IF(A29=Assumptions!$B$5,1,0)+IF(AND(A29&gt;Assumptions!$B$5,C29&gt;0),INDEX(Assumptions!$B$35:$B$39,C29),0)</f>
        <v>0.75</v>
      </c>
      <c r="E29" s="27">
        <f>E28*(1-Assumptions!$B$9)+D29</f>
        <v>7.6623560561992772</v>
      </c>
      <c r="F29" s="15">
        <f>E29*Assumptions!$B$6</f>
        <v>19155.890140498192</v>
      </c>
      <c r="G29" s="15">
        <f>F29*Assumptions!$B$7</f>
        <v>1915.5890140498193</v>
      </c>
      <c r="H29" s="15">
        <f>E29*Assumptions!$B$8</f>
        <v>1111.0416281488951</v>
      </c>
      <c r="I29" s="15">
        <f>IF(A29&lt;=Assumptions!$B$5,Assumptions!$B$13+Assumptions!$B$14+Assumptions!$B$15+Assumptions!$B$16+IF(A29&gt;=Assumptions!$B$11,Assumptions!$B$17,0),SUM(Assumptions!$B$19:$B$24))</f>
        <v>5200</v>
      </c>
      <c r="J29" s="15">
        <f>IF(C29&gt;0,INDEX(Assumptions!$B$41:$B$45,C29),0)</f>
        <v>0</v>
      </c>
      <c r="K29" s="15">
        <f>SUMIF(Assumptions!$B$27:$B$31,A29,Assumptions!$C$27:$C$31)</f>
        <v>0</v>
      </c>
      <c r="L29" s="15">
        <f>SUMPRODUCT((Assumptions!$D$48:$D$54&lt;=A29)*Assumptions!$F$48:$F$54)</f>
        <v>0</v>
      </c>
      <c r="M29" s="15">
        <f>IF(A29&lt;=Assumptions!$B$5,(I29+K29)*Assumptions!$B$10,0)</f>
        <v>0</v>
      </c>
      <c r="N29" s="15">
        <f t="shared" si="2"/>
        <v>8226.6306421987138</v>
      </c>
      <c r="O29" s="15">
        <f t="shared" si="3"/>
        <v>10929.259498299478</v>
      </c>
      <c r="P29" s="15">
        <f t="shared" si="4"/>
        <v>3458.6262783340735</v>
      </c>
    </row>
    <row r="30" spans="1:16" x14ac:dyDescent="0.3">
      <c r="A30" s="26">
        <v>27</v>
      </c>
      <c r="B30" s="5" t="str">
        <f t="shared" si="0"/>
        <v>Year 2</v>
      </c>
      <c r="C30" s="5">
        <f t="shared" si="1"/>
        <v>2</v>
      </c>
      <c r="D30" s="27">
        <f>IF(A30=Assumptions!$B$5,1,0)+IF(AND(A30&gt;Assumptions!$B$5,C30&gt;0),INDEX(Assumptions!$B$35:$B$39,C30),0)</f>
        <v>0.75</v>
      </c>
      <c r="E30" s="27">
        <f>E29*(1-Assumptions!$B$9)+D30</f>
        <v>8.2974207153562887</v>
      </c>
      <c r="F30" s="15">
        <f>E30*Assumptions!$B$6</f>
        <v>20743.551788390723</v>
      </c>
      <c r="G30" s="15">
        <f>F30*Assumptions!$B$7</f>
        <v>2074.3551788390723</v>
      </c>
      <c r="H30" s="15">
        <f>E30*Assumptions!$B$8</f>
        <v>1203.1260037266618</v>
      </c>
      <c r="I30" s="15">
        <f>IF(A30&lt;=Assumptions!$B$5,Assumptions!$B$13+Assumptions!$B$14+Assumptions!$B$15+Assumptions!$B$16+IF(A30&gt;=Assumptions!$B$11,Assumptions!$B$17,0),SUM(Assumptions!$B$19:$B$24))</f>
        <v>5200</v>
      </c>
      <c r="J30" s="15">
        <f>IF(C30&gt;0,INDEX(Assumptions!$B$41:$B$45,C30),0)</f>
        <v>0</v>
      </c>
      <c r="K30" s="15">
        <f>SUMIF(Assumptions!$B$27:$B$31,A30,Assumptions!$C$27:$C$31)</f>
        <v>0</v>
      </c>
      <c r="L30" s="15">
        <f>SUMPRODUCT((Assumptions!$D$48:$D$54&lt;=A30)*Assumptions!$F$48:$F$54)</f>
        <v>0</v>
      </c>
      <c r="M30" s="15">
        <f>IF(A30&lt;=Assumptions!$B$5,(I30+K30)*Assumptions!$B$10,0)</f>
        <v>0</v>
      </c>
      <c r="N30" s="15">
        <f t="shared" si="2"/>
        <v>8477.4811825657343</v>
      </c>
      <c r="O30" s="15">
        <f t="shared" si="3"/>
        <v>12266.070605824989</v>
      </c>
      <c r="P30" s="15">
        <f t="shared" si="4"/>
        <v>15724.696884159062</v>
      </c>
    </row>
    <row r="31" spans="1:16" x14ac:dyDescent="0.3">
      <c r="A31" s="26">
        <v>28</v>
      </c>
      <c r="B31" s="5" t="str">
        <f t="shared" si="0"/>
        <v>Year 2</v>
      </c>
      <c r="C31" s="5">
        <f t="shared" si="1"/>
        <v>2</v>
      </c>
      <c r="D31" s="27">
        <f>IF(A31=Assumptions!$B$5,1,0)+IF(AND(A31&gt;Assumptions!$B$5,C31&gt;0),INDEX(Assumptions!$B$35:$B$39,C31),0)</f>
        <v>0.75</v>
      </c>
      <c r="E31" s="27">
        <f>E30*(1-Assumptions!$B$9)+D31</f>
        <v>8.9229594046259439</v>
      </c>
      <c r="F31" s="15">
        <f>E31*Assumptions!$B$6</f>
        <v>22307.398511564861</v>
      </c>
      <c r="G31" s="15">
        <f>F31*Assumptions!$B$7</f>
        <v>2230.7398511564861</v>
      </c>
      <c r="H31" s="15">
        <f>E31*Assumptions!$B$8</f>
        <v>1293.8291136707619</v>
      </c>
      <c r="I31" s="15">
        <f>IF(A31&lt;=Assumptions!$B$5,Assumptions!$B$13+Assumptions!$B$14+Assumptions!$B$15+Assumptions!$B$16+IF(A31&gt;=Assumptions!$B$11,Assumptions!$B$17,0),SUM(Assumptions!$B$19:$B$24))</f>
        <v>5200</v>
      </c>
      <c r="J31" s="15">
        <f>IF(C31&gt;0,INDEX(Assumptions!$B$41:$B$45,C31),0)</f>
        <v>0</v>
      </c>
      <c r="K31" s="15">
        <f>SUMIF(Assumptions!$B$27:$B$31,A31,Assumptions!$C$27:$C$31)</f>
        <v>0</v>
      </c>
      <c r="L31" s="15">
        <f>SUMPRODUCT((Assumptions!$D$48:$D$54&lt;=A31)*Assumptions!$F$48:$F$54)</f>
        <v>0</v>
      </c>
      <c r="M31" s="15">
        <f>IF(A31&lt;=Assumptions!$B$5,(I31+K31)*Assumptions!$B$10,0)</f>
        <v>0</v>
      </c>
      <c r="N31" s="15">
        <f t="shared" si="2"/>
        <v>8724.5689648272491</v>
      </c>
      <c r="O31" s="15">
        <f t="shared" si="3"/>
        <v>13582.829546737612</v>
      </c>
      <c r="P31" s="15">
        <f t="shared" si="4"/>
        <v>29307.526430896673</v>
      </c>
    </row>
    <row r="32" spans="1:16" x14ac:dyDescent="0.3">
      <c r="A32" s="26">
        <v>29</v>
      </c>
      <c r="B32" s="5" t="str">
        <f t="shared" si="0"/>
        <v>Year 2</v>
      </c>
      <c r="C32" s="5">
        <f t="shared" si="1"/>
        <v>2</v>
      </c>
      <c r="D32" s="27">
        <f>IF(A32=Assumptions!$B$5,1,0)+IF(AND(A32&gt;Assumptions!$B$5,C32&gt;0),INDEX(Assumptions!$B$35:$B$39,C32),0)</f>
        <v>0.75</v>
      </c>
      <c r="E32" s="27">
        <f>E31*(1-Assumptions!$B$9)+D32</f>
        <v>9.5391150135565539</v>
      </c>
      <c r="F32" s="15">
        <f>E32*Assumptions!$B$6</f>
        <v>23847.787533891384</v>
      </c>
      <c r="G32" s="15">
        <f>F32*Assumptions!$B$7</f>
        <v>2384.7787533891383</v>
      </c>
      <c r="H32" s="15">
        <f>E32*Assumptions!$B$8</f>
        <v>1383.1716769657003</v>
      </c>
      <c r="I32" s="15">
        <f>IF(A32&lt;=Assumptions!$B$5,Assumptions!$B$13+Assumptions!$B$14+Assumptions!$B$15+Assumptions!$B$16+IF(A32&gt;=Assumptions!$B$11,Assumptions!$B$17,0),SUM(Assumptions!$B$19:$B$24))</f>
        <v>5200</v>
      </c>
      <c r="J32" s="15">
        <f>IF(C32&gt;0,INDEX(Assumptions!$B$41:$B$45,C32),0)</f>
        <v>0</v>
      </c>
      <c r="K32" s="15">
        <f>SUMIF(Assumptions!$B$27:$B$31,A32,Assumptions!$C$27:$C$31)</f>
        <v>0</v>
      </c>
      <c r="L32" s="15">
        <f>SUMPRODUCT((Assumptions!$D$48:$D$54&lt;=A32)*Assumptions!$F$48:$F$54)</f>
        <v>0</v>
      </c>
      <c r="M32" s="15">
        <f>IF(A32&lt;=Assumptions!$B$5,(I32+K32)*Assumptions!$B$10,0)</f>
        <v>0</v>
      </c>
      <c r="N32" s="15">
        <f t="shared" si="2"/>
        <v>8967.9504303548383</v>
      </c>
      <c r="O32" s="15">
        <f t="shared" si="3"/>
        <v>14879.837103536545</v>
      </c>
      <c r="P32" s="15">
        <f t="shared" si="4"/>
        <v>44187.363534433214</v>
      </c>
    </row>
    <row r="33" spans="1:16" x14ac:dyDescent="0.3">
      <c r="A33" s="26">
        <v>30</v>
      </c>
      <c r="B33" s="5" t="str">
        <f t="shared" si="0"/>
        <v>Year 2</v>
      </c>
      <c r="C33" s="5">
        <f t="shared" si="1"/>
        <v>2</v>
      </c>
      <c r="D33" s="27">
        <f>IF(A33=Assumptions!$B$5,1,0)+IF(AND(A33&gt;Assumptions!$B$5,C33&gt;0),INDEX(Assumptions!$B$35:$B$39,C33),0)</f>
        <v>0.75</v>
      </c>
      <c r="E33" s="27">
        <f>E32*(1-Assumptions!$B$9)+D33</f>
        <v>10.146028288353206</v>
      </c>
      <c r="F33" s="15">
        <f>E33*Assumptions!$B$6</f>
        <v>25365.070720883014</v>
      </c>
      <c r="G33" s="15">
        <f>F33*Assumptions!$B$7</f>
        <v>2536.5070720883014</v>
      </c>
      <c r="H33" s="15">
        <f>E33*Assumptions!$B$8</f>
        <v>1471.1741018112148</v>
      </c>
      <c r="I33" s="15">
        <f>IF(A33&lt;=Assumptions!$B$5,Assumptions!$B$13+Assumptions!$B$14+Assumptions!$B$15+Assumptions!$B$16+IF(A33&gt;=Assumptions!$B$11,Assumptions!$B$17,0),SUM(Assumptions!$B$19:$B$24))</f>
        <v>5200</v>
      </c>
      <c r="J33" s="15">
        <f>IF(C33&gt;0,INDEX(Assumptions!$B$41:$B$45,C33),0)</f>
        <v>0</v>
      </c>
      <c r="K33" s="15">
        <f>SUMIF(Assumptions!$B$27:$B$31,A33,Assumptions!$C$27:$C$31)</f>
        <v>0</v>
      </c>
      <c r="L33" s="15">
        <f>SUMPRODUCT((Assumptions!$D$48:$D$54&lt;=A33)*Assumptions!$F$48:$F$54)</f>
        <v>0</v>
      </c>
      <c r="M33" s="15">
        <f>IF(A33&lt;=Assumptions!$B$5,(I33+K33)*Assumptions!$B$10,0)</f>
        <v>0</v>
      </c>
      <c r="N33" s="15">
        <f t="shared" si="2"/>
        <v>9207.6811738995166</v>
      </c>
      <c r="O33" s="15">
        <f t="shared" si="3"/>
        <v>16157.389546983497</v>
      </c>
      <c r="P33" s="15">
        <f t="shared" si="4"/>
        <v>60344.753081416711</v>
      </c>
    </row>
    <row r="34" spans="1:16" x14ac:dyDescent="0.3">
      <c r="A34" s="26">
        <v>31</v>
      </c>
      <c r="B34" s="5" t="str">
        <f t="shared" si="0"/>
        <v>Year 2</v>
      </c>
      <c r="C34" s="5">
        <f t="shared" si="1"/>
        <v>2</v>
      </c>
      <c r="D34" s="27">
        <f>IF(A34=Assumptions!$B$5,1,0)+IF(AND(A34&gt;Assumptions!$B$5,C34&gt;0),INDEX(Assumptions!$B$35:$B$39,C34),0)</f>
        <v>0.75</v>
      </c>
      <c r="E34" s="27">
        <f>E33*(1-Assumptions!$B$9)+D34</f>
        <v>10.743837864027908</v>
      </c>
      <c r="F34" s="15">
        <f>E34*Assumptions!$B$6</f>
        <v>26859.594660069772</v>
      </c>
      <c r="G34" s="15">
        <f>F34*Assumptions!$B$7</f>
        <v>2685.9594660069774</v>
      </c>
      <c r="H34" s="15">
        <f>E34*Assumptions!$B$8</f>
        <v>1557.8564902840467</v>
      </c>
      <c r="I34" s="15">
        <f>IF(A34&lt;=Assumptions!$B$5,Assumptions!$B$13+Assumptions!$B$14+Assumptions!$B$15+Assumptions!$B$16+IF(A34&gt;=Assumptions!$B$11,Assumptions!$B$17,0),SUM(Assumptions!$B$19:$B$24))</f>
        <v>5200</v>
      </c>
      <c r="J34" s="15">
        <f>IF(C34&gt;0,INDEX(Assumptions!$B$41:$B$45,C34),0)</f>
        <v>0</v>
      </c>
      <c r="K34" s="15">
        <f>SUMIF(Assumptions!$B$27:$B$31,A34,Assumptions!$C$27:$C$31)</f>
        <v>0</v>
      </c>
      <c r="L34" s="15">
        <f>SUMPRODUCT((Assumptions!$D$48:$D$54&lt;=A34)*Assumptions!$F$48:$F$54)</f>
        <v>0</v>
      </c>
      <c r="M34" s="15">
        <f>IF(A34&lt;=Assumptions!$B$5,(I34+K34)*Assumptions!$B$10,0)</f>
        <v>0</v>
      </c>
      <c r="N34" s="15">
        <f t="shared" si="2"/>
        <v>9443.8159562910241</v>
      </c>
      <c r="O34" s="15">
        <f t="shared" si="3"/>
        <v>17415.778703778749</v>
      </c>
      <c r="P34" s="15">
        <f t="shared" si="4"/>
        <v>77760.531785195461</v>
      </c>
    </row>
    <row r="35" spans="1:16" x14ac:dyDescent="0.3">
      <c r="A35" s="26">
        <v>32</v>
      </c>
      <c r="B35" s="5" t="str">
        <f t="shared" si="0"/>
        <v>Year 2</v>
      </c>
      <c r="C35" s="5">
        <f t="shared" si="1"/>
        <v>2</v>
      </c>
      <c r="D35" s="27">
        <f>IF(A35=Assumptions!$B$5,1,0)+IF(AND(A35&gt;Assumptions!$B$5,C35&gt;0),INDEX(Assumptions!$B$35:$B$39,C35),0)</f>
        <v>0.75</v>
      </c>
      <c r="E35" s="27">
        <f>E34*(1-Assumptions!$B$9)+D35</f>
        <v>11.332680296067489</v>
      </c>
      <c r="F35" s="15">
        <f>E35*Assumptions!$B$6</f>
        <v>28331.700740168722</v>
      </c>
      <c r="G35" s="15">
        <f>F35*Assumptions!$B$7</f>
        <v>2833.1700740168726</v>
      </c>
      <c r="H35" s="15">
        <f>E35*Assumptions!$B$8</f>
        <v>1643.2386429297858</v>
      </c>
      <c r="I35" s="15">
        <f>IF(A35&lt;=Assumptions!$B$5,Assumptions!$B$13+Assumptions!$B$14+Assumptions!$B$15+Assumptions!$B$16+IF(A35&gt;=Assumptions!$B$11,Assumptions!$B$17,0),SUM(Assumptions!$B$19:$B$24))</f>
        <v>5200</v>
      </c>
      <c r="J35" s="15">
        <f>IF(C35&gt;0,INDEX(Assumptions!$B$41:$B$45,C35),0)</f>
        <v>0</v>
      </c>
      <c r="K35" s="15">
        <f>SUMIF(Assumptions!$B$27:$B$31,A35,Assumptions!$C$27:$C$31)</f>
        <v>0</v>
      </c>
      <c r="L35" s="15">
        <f>SUMPRODUCT((Assumptions!$D$48:$D$54&lt;=A35)*Assumptions!$F$48:$F$54)</f>
        <v>0</v>
      </c>
      <c r="M35" s="15">
        <f>IF(A35&lt;=Assumptions!$B$5,(I35+K35)*Assumptions!$B$10,0)</f>
        <v>0</v>
      </c>
      <c r="N35" s="15">
        <f t="shared" si="2"/>
        <v>9676.4087169466584</v>
      </c>
      <c r="O35" s="15">
        <f t="shared" si="3"/>
        <v>18655.292023222064</v>
      </c>
      <c r="P35" s="15">
        <f t="shared" si="4"/>
        <v>96415.823808417525</v>
      </c>
    </row>
    <row r="36" spans="1:16" x14ac:dyDescent="0.3">
      <c r="A36" s="26">
        <v>33</v>
      </c>
      <c r="B36" s="5" t="str">
        <f t="shared" ref="B36:B67" si="5">"Year "&amp;INT((A36-1)/12)</f>
        <v>Year 2</v>
      </c>
      <c r="C36" s="5">
        <f t="shared" ref="C36:C67" si="6">IF(A36&lt;=12,0,INT((A36-13)/12)+1)</f>
        <v>2</v>
      </c>
      <c r="D36" s="27">
        <f>IF(A36=Assumptions!$B$5,1,0)+IF(AND(A36&gt;Assumptions!$B$5,C36&gt;0),INDEX(Assumptions!$B$35:$B$39,C36),0)</f>
        <v>0.75</v>
      </c>
      <c r="E36" s="27">
        <f>E35*(1-Assumptions!$B$9)+D36</f>
        <v>11.912690091626477</v>
      </c>
      <c r="F36" s="15">
        <f>E36*Assumptions!$B$6</f>
        <v>29781.725229066193</v>
      </c>
      <c r="G36" s="15">
        <f>F36*Assumptions!$B$7</f>
        <v>2978.1725229066196</v>
      </c>
      <c r="H36" s="15">
        <f>E36*Assumptions!$B$8</f>
        <v>1727.3400632858391</v>
      </c>
      <c r="I36" s="15">
        <f>IF(A36&lt;=Assumptions!$B$5,Assumptions!$B$13+Assumptions!$B$14+Assumptions!$B$15+Assumptions!$B$16+IF(A36&gt;=Assumptions!$B$11,Assumptions!$B$17,0),SUM(Assumptions!$B$19:$B$24))</f>
        <v>5200</v>
      </c>
      <c r="J36" s="15">
        <f>IF(C36&gt;0,INDEX(Assumptions!$B$41:$B$45,C36),0)</f>
        <v>0</v>
      </c>
      <c r="K36" s="15">
        <f>SUMIF(Assumptions!$B$27:$B$31,A36,Assumptions!$C$27:$C$31)</f>
        <v>0</v>
      </c>
      <c r="L36" s="15">
        <f>SUMPRODUCT((Assumptions!$D$48:$D$54&lt;=A36)*Assumptions!$F$48:$F$54)</f>
        <v>0</v>
      </c>
      <c r="M36" s="15">
        <f>IF(A36&lt;=Assumptions!$B$5,(I36+K36)*Assumptions!$B$10,0)</f>
        <v>0</v>
      </c>
      <c r="N36" s="15">
        <f t="shared" ref="N36:N67" si="7">SUM(G36:M36)</f>
        <v>9905.5125861924589</v>
      </c>
      <c r="O36" s="15">
        <f t="shared" ref="O36:O67" si="8">F36-N36</f>
        <v>19876.212642873732</v>
      </c>
      <c r="P36" s="15">
        <f t="shared" si="4"/>
        <v>116292.03645129126</v>
      </c>
    </row>
    <row r="37" spans="1:16" x14ac:dyDescent="0.3">
      <c r="A37" s="26">
        <v>34</v>
      </c>
      <c r="B37" s="5" t="str">
        <f t="shared" si="5"/>
        <v>Year 2</v>
      </c>
      <c r="C37" s="5">
        <f t="shared" si="6"/>
        <v>2</v>
      </c>
      <c r="D37" s="27">
        <f>IF(A37=Assumptions!$B$5,1,0)+IF(AND(A37&gt;Assumptions!$B$5,C37&gt;0),INDEX(Assumptions!$B$35:$B$39,C37),0)</f>
        <v>0.75</v>
      </c>
      <c r="E37" s="27">
        <f>E36*(1-Assumptions!$B$9)+D37</f>
        <v>12.483999740252079</v>
      </c>
      <c r="F37" s="15">
        <f>E37*Assumptions!$B$6</f>
        <v>31209.999350630198</v>
      </c>
      <c r="G37" s="15">
        <f>F37*Assumptions!$B$7</f>
        <v>3120.9999350630201</v>
      </c>
      <c r="H37" s="15">
        <f>E37*Assumptions!$B$8</f>
        <v>1810.1799623365514</v>
      </c>
      <c r="I37" s="15">
        <f>IF(A37&lt;=Assumptions!$B$5,Assumptions!$B$13+Assumptions!$B$14+Assumptions!$B$15+Assumptions!$B$16+IF(A37&gt;=Assumptions!$B$11,Assumptions!$B$17,0),SUM(Assumptions!$B$19:$B$24))</f>
        <v>5200</v>
      </c>
      <c r="J37" s="15">
        <f>IF(C37&gt;0,INDEX(Assumptions!$B$41:$B$45,C37),0)</f>
        <v>0</v>
      </c>
      <c r="K37" s="15">
        <f>SUMIF(Assumptions!$B$27:$B$31,A37,Assumptions!$C$27:$C$31)</f>
        <v>0</v>
      </c>
      <c r="L37" s="15">
        <f>SUMPRODUCT((Assumptions!$D$48:$D$54&lt;=A37)*Assumptions!$F$48:$F$54)</f>
        <v>0</v>
      </c>
      <c r="M37" s="15">
        <f>IF(A37&lt;=Assumptions!$B$5,(I37+K37)*Assumptions!$B$10,0)</f>
        <v>0</v>
      </c>
      <c r="N37" s="15">
        <f t="shared" si="7"/>
        <v>10131.179897399572</v>
      </c>
      <c r="O37" s="15">
        <f t="shared" si="8"/>
        <v>21078.819453230626</v>
      </c>
      <c r="P37" s="15">
        <f t="shared" ref="P37:P68" si="9">P36+O37</f>
        <v>137370.85590452189</v>
      </c>
    </row>
    <row r="38" spans="1:16" x14ac:dyDescent="0.3">
      <c r="A38" s="26">
        <v>35</v>
      </c>
      <c r="B38" s="5" t="str">
        <f t="shared" si="5"/>
        <v>Year 2</v>
      </c>
      <c r="C38" s="5">
        <f t="shared" si="6"/>
        <v>2</v>
      </c>
      <c r="D38" s="27">
        <f>IF(A38=Assumptions!$B$5,1,0)+IF(AND(A38&gt;Assumptions!$B$5,C38&gt;0),INDEX(Assumptions!$B$35:$B$39,C38),0)</f>
        <v>0.75</v>
      </c>
      <c r="E38" s="27">
        <f>E37*(1-Assumptions!$B$9)+D38</f>
        <v>13.046739744148297</v>
      </c>
      <c r="F38" s="15">
        <f>E38*Assumptions!$B$6</f>
        <v>32616.849360370743</v>
      </c>
      <c r="G38" s="15">
        <f>F38*Assumptions!$B$7</f>
        <v>3261.6849360370743</v>
      </c>
      <c r="H38" s="15">
        <f>E38*Assumptions!$B$8</f>
        <v>1891.777262901503</v>
      </c>
      <c r="I38" s="15">
        <f>IF(A38&lt;=Assumptions!$B$5,Assumptions!$B$13+Assumptions!$B$14+Assumptions!$B$15+Assumptions!$B$16+IF(A38&gt;=Assumptions!$B$11,Assumptions!$B$17,0),SUM(Assumptions!$B$19:$B$24))</f>
        <v>5200</v>
      </c>
      <c r="J38" s="15">
        <f>IF(C38&gt;0,INDEX(Assumptions!$B$41:$B$45,C38),0)</f>
        <v>0</v>
      </c>
      <c r="K38" s="15">
        <f>SUMIF(Assumptions!$B$27:$B$31,A38,Assumptions!$C$27:$C$31)</f>
        <v>0</v>
      </c>
      <c r="L38" s="15">
        <f>SUMPRODUCT((Assumptions!$D$48:$D$54&lt;=A38)*Assumptions!$F$48:$F$54)</f>
        <v>0</v>
      </c>
      <c r="M38" s="15">
        <f>IF(A38&lt;=Assumptions!$B$5,(I38+K38)*Assumptions!$B$10,0)</f>
        <v>0</v>
      </c>
      <c r="N38" s="15">
        <f t="shared" si="7"/>
        <v>10353.462198938578</v>
      </c>
      <c r="O38" s="15">
        <f t="shared" si="8"/>
        <v>22263.387161432165</v>
      </c>
      <c r="P38" s="15">
        <f t="shared" si="9"/>
        <v>159634.24306595404</v>
      </c>
    </row>
    <row r="39" spans="1:16" x14ac:dyDescent="0.3">
      <c r="A39" s="26">
        <v>36</v>
      </c>
      <c r="B39" s="5" t="str">
        <f t="shared" si="5"/>
        <v>Year 2</v>
      </c>
      <c r="C39" s="5">
        <f t="shared" si="6"/>
        <v>2</v>
      </c>
      <c r="D39" s="27">
        <f>IF(A39=Assumptions!$B$5,1,0)+IF(AND(A39&gt;Assumptions!$B$5,C39&gt;0),INDEX(Assumptions!$B$35:$B$39,C39),0)</f>
        <v>0.75</v>
      </c>
      <c r="E39" s="27">
        <f>E38*(1-Assumptions!$B$9)+D39</f>
        <v>13.601038647986073</v>
      </c>
      <c r="F39" s="15">
        <f>E39*Assumptions!$B$6</f>
        <v>34002.596619965181</v>
      </c>
      <c r="G39" s="15">
        <f>F39*Assumptions!$B$7</f>
        <v>3400.2596619965184</v>
      </c>
      <c r="H39" s="15">
        <f>E39*Assumptions!$B$8</f>
        <v>1972.1506039579806</v>
      </c>
      <c r="I39" s="15">
        <f>IF(A39&lt;=Assumptions!$B$5,Assumptions!$B$13+Assumptions!$B$14+Assumptions!$B$15+Assumptions!$B$16+IF(A39&gt;=Assumptions!$B$11,Assumptions!$B$17,0),SUM(Assumptions!$B$19:$B$24))</f>
        <v>5200</v>
      </c>
      <c r="J39" s="15">
        <f>IF(C39&gt;0,INDEX(Assumptions!$B$41:$B$45,C39),0)</f>
        <v>0</v>
      </c>
      <c r="K39" s="15">
        <f>SUMIF(Assumptions!$B$27:$B$31,A39,Assumptions!$C$27:$C$31)</f>
        <v>0</v>
      </c>
      <c r="L39" s="15">
        <f>SUMPRODUCT((Assumptions!$D$48:$D$54&lt;=A39)*Assumptions!$F$48:$F$54)</f>
        <v>0</v>
      </c>
      <c r="M39" s="15">
        <f>IF(A39&lt;=Assumptions!$B$5,(I39+K39)*Assumptions!$B$10,0)</f>
        <v>0</v>
      </c>
      <c r="N39" s="15">
        <f t="shared" si="7"/>
        <v>10572.410265954499</v>
      </c>
      <c r="O39" s="15">
        <f t="shared" si="8"/>
        <v>23430.186354010682</v>
      </c>
      <c r="P39" s="15">
        <f t="shared" si="9"/>
        <v>183064.42941996473</v>
      </c>
    </row>
    <row r="40" spans="1:16" x14ac:dyDescent="0.3">
      <c r="A40" s="26">
        <v>37</v>
      </c>
      <c r="B40" s="5" t="str">
        <f t="shared" si="5"/>
        <v>Year 3</v>
      </c>
      <c r="C40" s="5">
        <f t="shared" si="6"/>
        <v>3</v>
      </c>
      <c r="D40" s="27">
        <f>IF(A40=Assumptions!$B$5,1,0)+IF(AND(A40&gt;Assumptions!$B$5,C40&gt;0),INDEX(Assumptions!$B$35:$B$39,C40),0)</f>
        <v>1</v>
      </c>
      <c r="E40" s="27">
        <f>E39*(1-Assumptions!$B$9)+D40</f>
        <v>14.397023068266282</v>
      </c>
      <c r="F40" s="15">
        <f>E40*Assumptions!$B$6</f>
        <v>35992.557670665708</v>
      </c>
      <c r="G40" s="15">
        <f>F40*Assumptions!$B$7</f>
        <v>3599.255767066571</v>
      </c>
      <c r="H40" s="15">
        <f>E40*Assumptions!$B$8</f>
        <v>2087.568344898611</v>
      </c>
      <c r="I40" s="15">
        <f>IF(A40&lt;=Assumptions!$B$5,Assumptions!$B$13+Assumptions!$B$14+Assumptions!$B$15+Assumptions!$B$16+IF(A40&gt;=Assumptions!$B$11,Assumptions!$B$17,0),SUM(Assumptions!$B$19:$B$24))</f>
        <v>5200</v>
      </c>
      <c r="J40" s="15">
        <f>IF(C40&gt;0,INDEX(Assumptions!$B$41:$B$45,C40),0)</f>
        <v>0</v>
      </c>
      <c r="K40" s="15">
        <f>SUMIF(Assumptions!$B$27:$B$31,A40,Assumptions!$C$27:$C$31)</f>
        <v>0</v>
      </c>
      <c r="L40" s="15">
        <f>SUMPRODUCT((Assumptions!$D$48:$D$54&lt;=A40)*Assumptions!$F$48:$F$54)</f>
        <v>17179.166666666668</v>
      </c>
      <c r="M40" s="15">
        <f>IF(A40&lt;=Assumptions!$B$5,(I40+K40)*Assumptions!$B$10,0)</f>
        <v>0</v>
      </c>
      <c r="N40" s="15">
        <f t="shared" si="7"/>
        <v>28065.990778631851</v>
      </c>
      <c r="O40" s="15">
        <f t="shared" si="8"/>
        <v>7926.5668920338576</v>
      </c>
      <c r="P40" s="15">
        <f t="shared" si="9"/>
        <v>190990.99631199858</v>
      </c>
    </row>
    <row r="41" spans="1:16" x14ac:dyDescent="0.3">
      <c r="A41" s="26">
        <v>38</v>
      </c>
      <c r="B41" s="5" t="str">
        <f t="shared" si="5"/>
        <v>Year 3</v>
      </c>
      <c r="C41" s="5">
        <f t="shared" si="6"/>
        <v>3</v>
      </c>
      <c r="D41" s="27">
        <f>IF(A41=Assumptions!$B$5,1,0)+IF(AND(A41&gt;Assumptions!$B$5,C41&gt;0),INDEX(Assumptions!$B$35:$B$39,C41),0)</f>
        <v>1</v>
      </c>
      <c r="E41" s="27">
        <f>E40*(1-Assumptions!$B$9)+D41</f>
        <v>15.181067722242288</v>
      </c>
      <c r="F41" s="15">
        <f>E41*Assumptions!$B$6</f>
        <v>37952.669305605719</v>
      </c>
      <c r="G41" s="15">
        <f>F41*Assumptions!$B$7</f>
        <v>3795.2669305605723</v>
      </c>
      <c r="H41" s="15">
        <f>E41*Assumptions!$B$8</f>
        <v>2201.2548197251317</v>
      </c>
      <c r="I41" s="15">
        <f>IF(A41&lt;=Assumptions!$B$5,Assumptions!$B$13+Assumptions!$B$14+Assumptions!$B$15+Assumptions!$B$16+IF(A41&gt;=Assumptions!$B$11,Assumptions!$B$17,0),SUM(Assumptions!$B$19:$B$24))</f>
        <v>5200</v>
      </c>
      <c r="J41" s="15">
        <f>IF(C41&gt;0,INDEX(Assumptions!$B$41:$B$45,C41),0)</f>
        <v>0</v>
      </c>
      <c r="K41" s="15">
        <f>SUMIF(Assumptions!$B$27:$B$31,A41,Assumptions!$C$27:$C$31)</f>
        <v>0</v>
      </c>
      <c r="L41" s="15">
        <f>SUMPRODUCT((Assumptions!$D$48:$D$54&lt;=A41)*Assumptions!$F$48:$F$54)</f>
        <v>17179.166666666668</v>
      </c>
      <c r="M41" s="15">
        <f>IF(A41&lt;=Assumptions!$B$5,(I41+K41)*Assumptions!$B$10,0)</f>
        <v>0</v>
      </c>
      <c r="N41" s="15">
        <f t="shared" si="7"/>
        <v>28375.688416952373</v>
      </c>
      <c r="O41" s="15">
        <f t="shared" si="8"/>
        <v>9576.9808886533465</v>
      </c>
      <c r="P41" s="15">
        <f t="shared" si="9"/>
        <v>200567.97720065192</v>
      </c>
    </row>
    <row r="42" spans="1:16" x14ac:dyDescent="0.3">
      <c r="A42" s="26">
        <v>39</v>
      </c>
      <c r="B42" s="5" t="str">
        <f t="shared" si="5"/>
        <v>Year 3</v>
      </c>
      <c r="C42" s="5">
        <f t="shared" si="6"/>
        <v>3</v>
      </c>
      <c r="D42" s="27">
        <f>IF(A42=Assumptions!$B$5,1,0)+IF(AND(A42&gt;Assumptions!$B$5,C42&gt;0),INDEX(Assumptions!$B$35:$B$39,C42),0)</f>
        <v>1</v>
      </c>
      <c r="E42" s="27">
        <f>E41*(1-Assumptions!$B$9)+D42</f>
        <v>15.953351706408654</v>
      </c>
      <c r="F42" s="15">
        <f>E42*Assumptions!$B$6</f>
        <v>39883.379266021635</v>
      </c>
      <c r="G42" s="15">
        <f>F42*Assumptions!$B$7</f>
        <v>3988.3379266021639</v>
      </c>
      <c r="H42" s="15">
        <f>E42*Assumptions!$B$8</f>
        <v>2313.2359974292549</v>
      </c>
      <c r="I42" s="15">
        <f>IF(A42&lt;=Assumptions!$B$5,Assumptions!$B$13+Assumptions!$B$14+Assumptions!$B$15+Assumptions!$B$16+IF(A42&gt;=Assumptions!$B$11,Assumptions!$B$17,0),SUM(Assumptions!$B$19:$B$24))</f>
        <v>5200</v>
      </c>
      <c r="J42" s="15">
        <f>IF(C42&gt;0,INDEX(Assumptions!$B$41:$B$45,C42),0)</f>
        <v>0</v>
      </c>
      <c r="K42" s="15">
        <f>SUMIF(Assumptions!$B$27:$B$31,A42,Assumptions!$C$27:$C$31)</f>
        <v>0</v>
      </c>
      <c r="L42" s="15">
        <f>SUMPRODUCT((Assumptions!$D$48:$D$54&lt;=A42)*Assumptions!$F$48:$F$54)</f>
        <v>17179.166666666668</v>
      </c>
      <c r="M42" s="15">
        <f>IF(A42&lt;=Assumptions!$B$5,(I42+K42)*Assumptions!$B$10,0)</f>
        <v>0</v>
      </c>
      <c r="N42" s="15">
        <f t="shared" si="7"/>
        <v>28680.740590698086</v>
      </c>
      <c r="O42" s="15">
        <f t="shared" si="8"/>
        <v>11202.638675323549</v>
      </c>
      <c r="P42" s="15">
        <f t="shared" si="9"/>
        <v>211770.61587597546</v>
      </c>
    </row>
    <row r="43" spans="1:16" x14ac:dyDescent="0.3">
      <c r="A43" s="26">
        <v>40</v>
      </c>
      <c r="B43" s="5" t="str">
        <f t="shared" si="5"/>
        <v>Year 3</v>
      </c>
      <c r="C43" s="5">
        <f t="shared" si="6"/>
        <v>3</v>
      </c>
      <c r="D43" s="27">
        <f>IF(A43=Assumptions!$B$5,1,0)+IF(AND(A43&gt;Assumptions!$B$5,C43&gt;0),INDEX(Assumptions!$B$35:$B$39,C43),0)</f>
        <v>1</v>
      </c>
      <c r="E43" s="27">
        <f>E42*(1-Assumptions!$B$9)+D43</f>
        <v>16.714051430812525</v>
      </c>
      <c r="F43" s="15">
        <f>E43*Assumptions!$B$6</f>
        <v>41785.128577031312</v>
      </c>
      <c r="G43" s="15">
        <f>F43*Assumptions!$B$7</f>
        <v>4178.512857703131</v>
      </c>
      <c r="H43" s="15">
        <f>E43*Assumptions!$B$8</f>
        <v>2423.5374574678162</v>
      </c>
      <c r="I43" s="15">
        <f>IF(A43&lt;=Assumptions!$B$5,Assumptions!$B$13+Assumptions!$B$14+Assumptions!$B$15+Assumptions!$B$16+IF(A43&gt;=Assumptions!$B$11,Assumptions!$B$17,0),SUM(Assumptions!$B$19:$B$24))</f>
        <v>5200</v>
      </c>
      <c r="J43" s="15">
        <f>IF(C43&gt;0,INDEX(Assumptions!$B$41:$B$45,C43),0)</f>
        <v>0</v>
      </c>
      <c r="K43" s="15">
        <f>SUMIF(Assumptions!$B$27:$B$31,A43,Assumptions!$C$27:$C$31)</f>
        <v>0</v>
      </c>
      <c r="L43" s="15">
        <f>SUMPRODUCT((Assumptions!$D$48:$D$54&lt;=A43)*Assumptions!$F$48:$F$54)</f>
        <v>17179.166666666668</v>
      </c>
      <c r="M43" s="15">
        <f>IF(A43&lt;=Assumptions!$B$5,(I43+K43)*Assumptions!$B$10,0)</f>
        <v>0</v>
      </c>
      <c r="N43" s="15">
        <f t="shared" si="7"/>
        <v>28981.216981837613</v>
      </c>
      <c r="O43" s="15">
        <f t="shared" si="8"/>
        <v>12803.911595193698</v>
      </c>
      <c r="P43" s="15">
        <f t="shared" si="9"/>
        <v>224574.52747116916</v>
      </c>
    </row>
    <row r="44" spans="1:16" x14ac:dyDescent="0.3">
      <c r="A44" s="26">
        <v>41</v>
      </c>
      <c r="B44" s="5" t="str">
        <f t="shared" si="5"/>
        <v>Year 3</v>
      </c>
      <c r="C44" s="5">
        <f t="shared" si="6"/>
        <v>3</v>
      </c>
      <c r="D44" s="27">
        <f>IF(A44=Assumptions!$B$5,1,0)+IF(AND(A44&gt;Assumptions!$B$5,C44&gt;0),INDEX(Assumptions!$B$35:$B$39,C44),0)</f>
        <v>1</v>
      </c>
      <c r="E44" s="27">
        <f>E43*(1-Assumptions!$B$9)+D44</f>
        <v>17.463340659350337</v>
      </c>
      <c r="F44" s="15">
        <f>E44*Assumptions!$B$6</f>
        <v>43658.351648375843</v>
      </c>
      <c r="G44" s="15">
        <f>F44*Assumptions!$B$7</f>
        <v>4365.8351648375847</v>
      </c>
      <c r="H44" s="15">
        <f>E44*Assumptions!$B$8</f>
        <v>2532.1843956057987</v>
      </c>
      <c r="I44" s="15">
        <f>IF(A44&lt;=Assumptions!$B$5,Assumptions!$B$13+Assumptions!$B$14+Assumptions!$B$15+Assumptions!$B$16+IF(A44&gt;=Assumptions!$B$11,Assumptions!$B$17,0),SUM(Assumptions!$B$19:$B$24))</f>
        <v>5200</v>
      </c>
      <c r="J44" s="15">
        <f>IF(C44&gt;0,INDEX(Assumptions!$B$41:$B$45,C44),0)</f>
        <v>0</v>
      </c>
      <c r="K44" s="15">
        <f>SUMIF(Assumptions!$B$27:$B$31,A44,Assumptions!$C$27:$C$31)</f>
        <v>0</v>
      </c>
      <c r="L44" s="15">
        <f>SUMPRODUCT((Assumptions!$D$48:$D$54&lt;=A44)*Assumptions!$F$48:$F$54)</f>
        <v>17179.166666666668</v>
      </c>
      <c r="M44" s="15">
        <f>IF(A44&lt;=Assumptions!$B$5,(I44+K44)*Assumptions!$B$10,0)</f>
        <v>0</v>
      </c>
      <c r="N44" s="15">
        <f t="shared" si="7"/>
        <v>29277.186227110051</v>
      </c>
      <c r="O44" s="15">
        <f t="shared" si="8"/>
        <v>14381.165421265792</v>
      </c>
      <c r="P44" s="15">
        <f t="shared" si="9"/>
        <v>238955.69289243495</v>
      </c>
    </row>
    <row r="45" spans="1:16" x14ac:dyDescent="0.3">
      <c r="A45" s="26">
        <v>42</v>
      </c>
      <c r="B45" s="5" t="str">
        <f t="shared" si="5"/>
        <v>Year 3</v>
      </c>
      <c r="C45" s="5">
        <f t="shared" si="6"/>
        <v>3</v>
      </c>
      <c r="D45" s="27">
        <f>IF(A45=Assumptions!$B$5,1,0)+IF(AND(A45&gt;Assumptions!$B$5,C45&gt;0),INDEX(Assumptions!$B$35:$B$39,C45),0)</f>
        <v>1</v>
      </c>
      <c r="E45" s="27">
        <f>E44*(1-Assumptions!$B$9)+D45</f>
        <v>18.201390549460083</v>
      </c>
      <c r="F45" s="15">
        <f>E45*Assumptions!$B$6</f>
        <v>45503.476373650206</v>
      </c>
      <c r="G45" s="15">
        <f>F45*Assumptions!$B$7</f>
        <v>4550.347637365021</v>
      </c>
      <c r="H45" s="15">
        <f>E45*Assumptions!$B$8</f>
        <v>2639.201629671712</v>
      </c>
      <c r="I45" s="15">
        <f>IF(A45&lt;=Assumptions!$B$5,Assumptions!$B$13+Assumptions!$B$14+Assumptions!$B$15+Assumptions!$B$16+IF(A45&gt;=Assumptions!$B$11,Assumptions!$B$17,0),SUM(Assumptions!$B$19:$B$24))</f>
        <v>5200</v>
      </c>
      <c r="J45" s="15">
        <f>IF(C45&gt;0,INDEX(Assumptions!$B$41:$B$45,C45),0)</f>
        <v>0</v>
      </c>
      <c r="K45" s="15">
        <f>SUMIF(Assumptions!$B$27:$B$31,A45,Assumptions!$C$27:$C$31)</f>
        <v>0</v>
      </c>
      <c r="L45" s="15">
        <f>SUMPRODUCT((Assumptions!$D$48:$D$54&lt;=A45)*Assumptions!$F$48:$F$54)</f>
        <v>17179.166666666668</v>
      </c>
      <c r="M45" s="15">
        <f>IF(A45&lt;=Assumptions!$B$5,(I45+K45)*Assumptions!$B$10,0)</f>
        <v>0</v>
      </c>
      <c r="N45" s="15">
        <f t="shared" si="7"/>
        <v>29568.715933703403</v>
      </c>
      <c r="O45" s="15">
        <f t="shared" si="8"/>
        <v>15934.760439946804</v>
      </c>
      <c r="P45" s="15">
        <f t="shared" si="9"/>
        <v>254890.45333238176</v>
      </c>
    </row>
    <row r="46" spans="1:16" x14ac:dyDescent="0.3">
      <c r="A46" s="26">
        <v>43</v>
      </c>
      <c r="B46" s="5" t="str">
        <f t="shared" si="5"/>
        <v>Year 3</v>
      </c>
      <c r="C46" s="5">
        <f t="shared" si="6"/>
        <v>3</v>
      </c>
      <c r="D46" s="27">
        <f>IF(A46=Assumptions!$B$5,1,0)+IF(AND(A46&gt;Assumptions!$B$5,C46&gt;0),INDEX(Assumptions!$B$35:$B$39,C46),0)</f>
        <v>1</v>
      </c>
      <c r="E46" s="27">
        <f>E45*(1-Assumptions!$B$9)+D46</f>
        <v>18.92836969121818</v>
      </c>
      <c r="F46" s="15">
        <f>E46*Assumptions!$B$6</f>
        <v>47320.924228045449</v>
      </c>
      <c r="G46" s="15">
        <f>F46*Assumptions!$B$7</f>
        <v>4732.0924228045451</v>
      </c>
      <c r="H46" s="15">
        <f>E46*Assumptions!$B$8</f>
        <v>2744.6136052266361</v>
      </c>
      <c r="I46" s="15">
        <f>IF(A46&lt;=Assumptions!$B$5,Assumptions!$B$13+Assumptions!$B$14+Assumptions!$B$15+Assumptions!$B$16+IF(A46&gt;=Assumptions!$B$11,Assumptions!$B$17,0),SUM(Assumptions!$B$19:$B$24))</f>
        <v>5200</v>
      </c>
      <c r="J46" s="15">
        <f>IF(C46&gt;0,INDEX(Assumptions!$B$41:$B$45,C46),0)</f>
        <v>0</v>
      </c>
      <c r="K46" s="15">
        <f>SUMIF(Assumptions!$B$27:$B$31,A46,Assumptions!$C$27:$C$31)</f>
        <v>0</v>
      </c>
      <c r="L46" s="15">
        <f>SUMPRODUCT((Assumptions!$D$48:$D$54&lt;=A46)*Assumptions!$F$48:$F$54)</f>
        <v>17179.166666666668</v>
      </c>
      <c r="M46" s="15">
        <f>IF(A46&lt;=Assumptions!$B$5,(I46+K46)*Assumptions!$B$10,0)</f>
        <v>0</v>
      </c>
      <c r="N46" s="15">
        <f t="shared" si="7"/>
        <v>29855.87269469785</v>
      </c>
      <c r="O46" s="15">
        <f t="shared" si="8"/>
        <v>17465.0515333476</v>
      </c>
      <c r="P46" s="15">
        <f t="shared" si="9"/>
        <v>272355.50486572937</v>
      </c>
    </row>
    <row r="47" spans="1:16" x14ac:dyDescent="0.3">
      <c r="A47" s="26">
        <v>44</v>
      </c>
      <c r="B47" s="5" t="str">
        <f t="shared" si="5"/>
        <v>Year 3</v>
      </c>
      <c r="C47" s="5">
        <f t="shared" si="6"/>
        <v>3</v>
      </c>
      <c r="D47" s="27">
        <f>IF(A47=Assumptions!$B$5,1,0)+IF(AND(A47&gt;Assumptions!$B$5,C47&gt;0),INDEX(Assumptions!$B$35:$B$39,C47),0)</f>
        <v>1</v>
      </c>
      <c r="E47" s="27">
        <f>E46*(1-Assumptions!$B$9)+D47</f>
        <v>19.644444145849906</v>
      </c>
      <c r="F47" s="15">
        <f>E47*Assumptions!$B$6</f>
        <v>49111.110364624765</v>
      </c>
      <c r="G47" s="15">
        <f>F47*Assumptions!$B$7</f>
        <v>4911.1110364624765</v>
      </c>
      <c r="H47" s="15">
        <f>E47*Assumptions!$B$8</f>
        <v>2848.4444011482365</v>
      </c>
      <c r="I47" s="15">
        <f>IF(A47&lt;=Assumptions!$B$5,Assumptions!$B$13+Assumptions!$B$14+Assumptions!$B$15+Assumptions!$B$16+IF(A47&gt;=Assumptions!$B$11,Assumptions!$B$17,0),SUM(Assumptions!$B$19:$B$24))</f>
        <v>5200</v>
      </c>
      <c r="J47" s="15">
        <f>IF(C47&gt;0,INDEX(Assumptions!$B$41:$B$45,C47),0)</f>
        <v>0</v>
      </c>
      <c r="K47" s="15">
        <f>SUMIF(Assumptions!$B$27:$B$31,A47,Assumptions!$C$27:$C$31)</f>
        <v>0</v>
      </c>
      <c r="L47" s="15">
        <f>SUMPRODUCT((Assumptions!$D$48:$D$54&lt;=A47)*Assumptions!$F$48:$F$54)</f>
        <v>17179.166666666668</v>
      </c>
      <c r="M47" s="15">
        <f>IF(A47&lt;=Assumptions!$B$5,(I47+K47)*Assumptions!$B$10,0)</f>
        <v>0</v>
      </c>
      <c r="N47" s="15">
        <f t="shared" si="7"/>
        <v>30138.722104277382</v>
      </c>
      <c r="O47" s="15">
        <f t="shared" si="8"/>
        <v>18972.388260347383</v>
      </c>
      <c r="P47" s="15">
        <f t="shared" si="9"/>
        <v>291327.89312607673</v>
      </c>
    </row>
    <row r="48" spans="1:16" x14ac:dyDescent="0.3">
      <c r="A48" s="26">
        <v>45</v>
      </c>
      <c r="B48" s="5" t="str">
        <f t="shared" si="5"/>
        <v>Year 3</v>
      </c>
      <c r="C48" s="5">
        <f t="shared" si="6"/>
        <v>3</v>
      </c>
      <c r="D48" s="27">
        <f>IF(A48=Assumptions!$B$5,1,0)+IF(AND(A48&gt;Assumptions!$B$5,C48&gt;0),INDEX(Assumptions!$B$35:$B$39,C48),0)</f>
        <v>1</v>
      </c>
      <c r="E48" s="27">
        <f>E47*(1-Assumptions!$B$9)+D48</f>
        <v>20.349777483662159</v>
      </c>
      <c r="F48" s="15">
        <f>E48*Assumptions!$B$6</f>
        <v>50874.443709155399</v>
      </c>
      <c r="G48" s="15">
        <f>F48*Assumptions!$B$7</f>
        <v>5087.4443709155403</v>
      </c>
      <c r="H48" s="15">
        <f>E48*Assumptions!$B$8</f>
        <v>2950.7177351310129</v>
      </c>
      <c r="I48" s="15">
        <f>IF(A48&lt;=Assumptions!$B$5,Assumptions!$B$13+Assumptions!$B$14+Assumptions!$B$15+Assumptions!$B$16+IF(A48&gt;=Assumptions!$B$11,Assumptions!$B$17,0),SUM(Assumptions!$B$19:$B$24))</f>
        <v>5200</v>
      </c>
      <c r="J48" s="15">
        <f>IF(C48&gt;0,INDEX(Assumptions!$B$41:$B$45,C48),0)</f>
        <v>0</v>
      </c>
      <c r="K48" s="15">
        <f>SUMIF(Assumptions!$B$27:$B$31,A48,Assumptions!$C$27:$C$31)</f>
        <v>0</v>
      </c>
      <c r="L48" s="15">
        <f>SUMPRODUCT((Assumptions!$D$48:$D$54&lt;=A48)*Assumptions!$F$48:$F$54)</f>
        <v>17179.166666666668</v>
      </c>
      <c r="M48" s="15">
        <f>IF(A48&lt;=Assumptions!$B$5,(I48+K48)*Assumptions!$B$10,0)</f>
        <v>0</v>
      </c>
      <c r="N48" s="15">
        <f t="shared" si="7"/>
        <v>30417.328772713219</v>
      </c>
      <c r="O48" s="15">
        <f t="shared" si="8"/>
        <v>20457.11493644218</v>
      </c>
      <c r="P48" s="15">
        <f t="shared" si="9"/>
        <v>311785.0080625189</v>
      </c>
    </row>
    <row r="49" spans="1:16" x14ac:dyDescent="0.3">
      <c r="A49" s="26">
        <v>46</v>
      </c>
      <c r="B49" s="5" t="str">
        <f t="shared" si="5"/>
        <v>Year 3</v>
      </c>
      <c r="C49" s="5">
        <f t="shared" si="6"/>
        <v>3</v>
      </c>
      <c r="D49" s="27">
        <f>IF(A49=Assumptions!$B$5,1,0)+IF(AND(A49&gt;Assumptions!$B$5,C49&gt;0),INDEX(Assumptions!$B$35:$B$39,C49),0)</f>
        <v>1</v>
      </c>
      <c r="E49" s="27">
        <f>E48*(1-Assumptions!$B$9)+D49</f>
        <v>21.044530821407225</v>
      </c>
      <c r="F49" s="15">
        <f>E49*Assumptions!$B$6</f>
        <v>52611.327053518064</v>
      </c>
      <c r="G49" s="15">
        <f>F49*Assumptions!$B$7</f>
        <v>5261.1327053518071</v>
      </c>
      <c r="H49" s="15">
        <f>E49*Assumptions!$B$8</f>
        <v>3051.4569691040474</v>
      </c>
      <c r="I49" s="15">
        <f>IF(A49&lt;=Assumptions!$B$5,Assumptions!$B$13+Assumptions!$B$14+Assumptions!$B$15+Assumptions!$B$16+IF(A49&gt;=Assumptions!$B$11,Assumptions!$B$17,0),SUM(Assumptions!$B$19:$B$24))</f>
        <v>5200</v>
      </c>
      <c r="J49" s="15">
        <f>IF(C49&gt;0,INDEX(Assumptions!$B$41:$B$45,C49),0)</f>
        <v>0</v>
      </c>
      <c r="K49" s="15">
        <f>SUMIF(Assumptions!$B$27:$B$31,A49,Assumptions!$C$27:$C$31)</f>
        <v>0</v>
      </c>
      <c r="L49" s="15">
        <f>SUMPRODUCT((Assumptions!$D$48:$D$54&lt;=A49)*Assumptions!$F$48:$F$54)</f>
        <v>17179.166666666668</v>
      </c>
      <c r="M49" s="15">
        <f>IF(A49&lt;=Assumptions!$B$5,(I49+K49)*Assumptions!$B$10,0)</f>
        <v>0</v>
      </c>
      <c r="N49" s="15">
        <f t="shared" si="7"/>
        <v>30691.75634112252</v>
      </c>
      <c r="O49" s="15">
        <f t="shared" si="8"/>
        <v>21919.570712395544</v>
      </c>
      <c r="P49" s="15">
        <f t="shared" si="9"/>
        <v>333704.57877491444</v>
      </c>
    </row>
    <row r="50" spans="1:16" x14ac:dyDescent="0.3">
      <c r="A50" s="26">
        <v>47</v>
      </c>
      <c r="B50" s="5" t="str">
        <f t="shared" si="5"/>
        <v>Year 3</v>
      </c>
      <c r="C50" s="5">
        <f t="shared" si="6"/>
        <v>3</v>
      </c>
      <c r="D50" s="27">
        <f>IF(A50=Assumptions!$B$5,1,0)+IF(AND(A50&gt;Assumptions!$B$5,C50&gt;0),INDEX(Assumptions!$B$35:$B$39,C50),0)</f>
        <v>1</v>
      </c>
      <c r="E50" s="27">
        <f>E49*(1-Assumptions!$B$9)+D50</f>
        <v>21.728862859086117</v>
      </c>
      <c r="F50" s="15">
        <f>E50*Assumptions!$B$6</f>
        <v>54322.15714771529</v>
      </c>
      <c r="G50" s="15">
        <f>F50*Assumptions!$B$7</f>
        <v>5432.2157147715297</v>
      </c>
      <c r="H50" s="15">
        <f>E50*Assumptions!$B$8</f>
        <v>3150.6851145674868</v>
      </c>
      <c r="I50" s="15">
        <f>IF(A50&lt;=Assumptions!$B$5,Assumptions!$B$13+Assumptions!$B$14+Assumptions!$B$15+Assumptions!$B$16+IF(A50&gt;=Assumptions!$B$11,Assumptions!$B$17,0),SUM(Assumptions!$B$19:$B$24))</f>
        <v>5200</v>
      </c>
      <c r="J50" s="15">
        <f>IF(C50&gt;0,INDEX(Assumptions!$B$41:$B$45,C50),0)</f>
        <v>0</v>
      </c>
      <c r="K50" s="15">
        <f>SUMIF(Assumptions!$B$27:$B$31,A50,Assumptions!$C$27:$C$31)</f>
        <v>0</v>
      </c>
      <c r="L50" s="15">
        <f>SUMPRODUCT((Assumptions!$D$48:$D$54&lt;=A50)*Assumptions!$F$48:$F$54)</f>
        <v>17179.166666666668</v>
      </c>
      <c r="M50" s="15">
        <f>IF(A50&lt;=Assumptions!$B$5,(I50+K50)*Assumptions!$B$10,0)</f>
        <v>0</v>
      </c>
      <c r="N50" s="15">
        <f t="shared" si="7"/>
        <v>30962.067496005686</v>
      </c>
      <c r="O50" s="15">
        <f t="shared" si="8"/>
        <v>23360.089651709604</v>
      </c>
      <c r="P50" s="15">
        <f t="shared" si="9"/>
        <v>357064.66842662403</v>
      </c>
    </row>
    <row r="51" spans="1:16" x14ac:dyDescent="0.3">
      <c r="A51" s="26">
        <v>48</v>
      </c>
      <c r="B51" s="5" t="str">
        <f t="shared" si="5"/>
        <v>Year 3</v>
      </c>
      <c r="C51" s="5">
        <f t="shared" si="6"/>
        <v>3</v>
      </c>
      <c r="D51" s="27">
        <f>IF(A51=Assumptions!$B$5,1,0)+IF(AND(A51&gt;Assumptions!$B$5,C51&gt;0),INDEX(Assumptions!$B$35:$B$39,C51),0)</f>
        <v>1</v>
      </c>
      <c r="E51" s="27">
        <f>E50*(1-Assumptions!$B$9)+D51</f>
        <v>22.402929916199824</v>
      </c>
      <c r="F51" s="15">
        <f>E51*Assumptions!$B$6</f>
        <v>56007.324790499559</v>
      </c>
      <c r="G51" s="15">
        <f>F51*Assumptions!$B$7</f>
        <v>5600.7324790499561</v>
      </c>
      <c r="H51" s="15">
        <f>E51*Assumptions!$B$8</f>
        <v>3248.4248378489747</v>
      </c>
      <c r="I51" s="15">
        <f>IF(A51&lt;=Assumptions!$B$5,Assumptions!$B$13+Assumptions!$B$14+Assumptions!$B$15+Assumptions!$B$16+IF(A51&gt;=Assumptions!$B$11,Assumptions!$B$17,0),SUM(Assumptions!$B$19:$B$24))</f>
        <v>5200</v>
      </c>
      <c r="J51" s="15">
        <f>IF(C51&gt;0,INDEX(Assumptions!$B$41:$B$45,C51),0)</f>
        <v>0</v>
      </c>
      <c r="K51" s="15">
        <f>SUMIF(Assumptions!$B$27:$B$31,A51,Assumptions!$C$27:$C$31)</f>
        <v>0</v>
      </c>
      <c r="L51" s="15">
        <f>SUMPRODUCT((Assumptions!$D$48:$D$54&lt;=A51)*Assumptions!$F$48:$F$54)</f>
        <v>17179.166666666668</v>
      </c>
      <c r="M51" s="15">
        <f>IF(A51&lt;=Assumptions!$B$5,(I51+K51)*Assumptions!$B$10,0)</f>
        <v>0</v>
      </c>
      <c r="N51" s="15">
        <f t="shared" si="7"/>
        <v>31228.323983565599</v>
      </c>
      <c r="O51" s="15">
        <f t="shared" si="8"/>
        <v>24779.00080693396</v>
      </c>
      <c r="P51" s="15">
        <f t="shared" si="9"/>
        <v>381843.669233558</v>
      </c>
    </row>
    <row r="52" spans="1:16" x14ac:dyDescent="0.3">
      <c r="A52" s="26">
        <v>49</v>
      </c>
      <c r="B52" s="5" t="str">
        <f t="shared" si="5"/>
        <v>Year 4</v>
      </c>
      <c r="C52" s="5">
        <f t="shared" si="6"/>
        <v>4</v>
      </c>
      <c r="D52" s="27">
        <f>IF(A52=Assumptions!$B$5,1,0)+IF(AND(A52&gt;Assumptions!$B$5,C52&gt;0),INDEX(Assumptions!$B$35:$B$39,C52),0)</f>
        <v>1.25</v>
      </c>
      <c r="E52" s="27">
        <f>E51*(1-Assumptions!$B$9)+D52</f>
        <v>23.316885967456827</v>
      </c>
      <c r="F52" s="15">
        <f>E52*Assumptions!$B$6</f>
        <v>58292.214918642065</v>
      </c>
      <c r="G52" s="15">
        <f>F52*Assumptions!$B$7</f>
        <v>5829.2214918642067</v>
      </c>
      <c r="H52" s="15">
        <f>E52*Assumptions!$B$8</f>
        <v>3380.9484652812398</v>
      </c>
      <c r="I52" s="15">
        <f>IF(A52&lt;=Assumptions!$B$5,Assumptions!$B$13+Assumptions!$B$14+Assumptions!$B$15+Assumptions!$B$16+IF(A52&gt;=Assumptions!$B$11,Assumptions!$B$17,0),SUM(Assumptions!$B$19:$B$24))</f>
        <v>5200</v>
      </c>
      <c r="J52" s="15">
        <f>IF(C52&gt;0,INDEX(Assumptions!$B$41:$B$45,C52),0)</f>
        <v>1000</v>
      </c>
      <c r="K52" s="15">
        <f>SUMIF(Assumptions!$B$27:$B$31,A52,Assumptions!$C$27:$C$31)</f>
        <v>0</v>
      </c>
      <c r="L52" s="15">
        <f>SUMPRODUCT((Assumptions!$D$48:$D$54&lt;=A52)*Assumptions!$F$48:$F$54)</f>
        <v>37710.833333333336</v>
      </c>
      <c r="M52" s="15">
        <f>IF(A52&lt;=Assumptions!$B$5,(I52+K52)*Assumptions!$B$10,0)</f>
        <v>0</v>
      </c>
      <c r="N52" s="15">
        <f t="shared" si="7"/>
        <v>53121.00329047878</v>
      </c>
      <c r="O52" s="15">
        <f t="shared" si="8"/>
        <v>5171.2116281632843</v>
      </c>
      <c r="P52" s="15">
        <f t="shared" si="9"/>
        <v>387014.88086172129</v>
      </c>
    </row>
    <row r="53" spans="1:16" x14ac:dyDescent="0.3">
      <c r="A53" s="26">
        <v>50</v>
      </c>
      <c r="B53" s="5" t="str">
        <f t="shared" si="5"/>
        <v>Year 4</v>
      </c>
      <c r="C53" s="5">
        <f t="shared" si="6"/>
        <v>4</v>
      </c>
      <c r="D53" s="27">
        <f>IF(A53=Assumptions!$B$5,1,0)+IF(AND(A53&gt;Assumptions!$B$5,C53&gt;0),INDEX(Assumptions!$B$35:$B$39,C53),0)</f>
        <v>1.25</v>
      </c>
      <c r="E53" s="27">
        <f>E52*(1-Assumptions!$B$9)+D53</f>
        <v>24.217132677944974</v>
      </c>
      <c r="F53" s="15">
        <f>E53*Assumptions!$B$6</f>
        <v>60542.831694862434</v>
      </c>
      <c r="G53" s="15">
        <f>F53*Assumptions!$B$7</f>
        <v>6054.2831694862434</v>
      </c>
      <c r="H53" s="15">
        <f>E53*Assumptions!$B$8</f>
        <v>3511.4842383020214</v>
      </c>
      <c r="I53" s="15">
        <f>IF(A53&lt;=Assumptions!$B$5,Assumptions!$B$13+Assumptions!$B$14+Assumptions!$B$15+Assumptions!$B$16+IF(A53&gt;=Assumptions!$B$11,Assumptions!$B$17,0),SUM(Assumptions!$B$19:$B$24))</f>
        <v>5200</v>
      </c>
      <c r="J53" s="15">
        <f>IF(C53&gt;0,INDEX(Assumptions!$B$41:$B$45,C53),0)</f>
        <v>1000</v>
      </c>
      <c r="K53" s="15">
        <f>SUMIF(Assumptions!$B$27:$B$31,A53,Assumptions!$C$27:$C$31)</f>
        <v>0</v>
      </c>
      <c r="L53" s="15">
        <f>SUMPRODUCT((Assumptions!$D$48:$D$54&lt;=A53)*Assumptions!$F$48:$F$54)</f>
        <v>37710.833333333336</v>
      </c>
      <c r="M53" s="15">
        <f>IF(A53&lt;=Assumptions!$B$5,(I53+K53)*Assumptions!$B$10,0)</f>
        <v>0</v>
      </c>
      <c r="N53" s="15">
        <f t="shared" si="7"/>
        <v>53476.600741121598</v>
      </c>
      <c r="O53" s="15">
        <f t="shared" si="8"/>
        <v>7066.2309537408364</v>
      </c>
      <c r="P53" s="15">
        <f t="shared" si="9"/>
        <v>394081.11181546212</v>
      </c>
    </row>
    <row r="54" spans="1:16" x14ac:dyDescent="0.3">
      <c r="A54" s="26">
        <v>51</v>
      </c>
      <c r="B54" s="5" t="str">
        <f t="shared" si="5"/>
        <v>Year 4</v>
      </c>
      <c r="C54" s="5">
        <f t="shared" si="6"/>
        <v>4</v>
      </c>
      <c r="D54" s="27">
        <f>IF(A54=Assumptions!$B$5,1,0)+IF(AND(A54&gt;Assumptions!$B$5,C54&gt;0),INDEX(Assumptions!$B$35:$B$39,C54),0)</f>
        <v>1.25</v>
      </c>
      <c r="E54" s="27">
        <f>E53*(1-Assumptions!$B$9)+D54</f>
        <v>25.103875687775798</v>
      </c>
      <c r="F54" s="15">
        <f>E54*Assumptions!$B$6</f>
        <v>62759.689219439497</v>
      </c>
      <c r="G54" s="15">
        <f>F54*Assumptions!$B$7</f>
        <v>6275.9689219439497</v>
      </c>
      <c r="H54" s="15">
        <f>E54*Assumptions!$B$8</f>
        <v>3640.0619747274905</v>
      </c>
      <c r="I54" s="15">
        <f>IF(A54&lt;=Assumptions!$B$5,Assumptions!$B$13+Assumptions!$B$14+Assumptions!$B$15+Assumptions!$B$16+IF(A54&gt;=Assumptions!$B$11,Assumptions!$B$17,0),SUM(Assumptions!$B$19:$B$24))</f>
        <v>5200</v>
      </c>
      <c r="J54" s="15">
        <f>IF(C54&gt;0,INDEX(Assumptions!$B$41:$B$45,C54),0)</f>
        <v>1000</v>
      </c>
      <c r="K54" s="15">
        <f>SUMIF(Assumptions!$B$27:$B$31,A54,Assumptions!$C$27:$C$31)</f>
        <v>0</v>
      </c>
      <c r="L54" s="15">
        <f>SUMPRODUCT((Assumptions!$D$48:$D$54&lt;=A54)*Assumptions!$F$48:$F$54)</f>
        <v>37710.833333333336</v>
      </c>
      <c r="M54" s="15">
        <f>IF(A54&lt;=Assumptions!$B$5,(I54+K54)*Assumptions!$B$10,0)</f>
        <v>0</v>
      </c>
      <c r="N54" s="15">
        <f t="shared" si="7"/>
        <v>53826.86423000478</v>
      </c>
      <c r="O54" s="15">
        <f t="shared" si="8"/>
        <v>8932.8249894347173</v>
      </c>
      <c r="P54" s="15">
        <f t="shared" si="9"/>
        <v>403013.93680489686</v>
      </c>
    </row>
    <row r="55" spans="1:16" x14ac:dyDescent="0.3">
      <c r="A55" s="26">
        <v>52</v>
      </c>
      <c r="B55" s="5" t="str">
        <f t="shared" si="5"/>
        <v>Year 4</v>
      </c>
      <c r="C55" s="5">
        <f t="shared" si="6"/>
        <v>4</v>
      </c>
      <c r="D55" s="27">
        <f>IF(A55=Assumptions!$B$5,1,0)+IF(AND(A55&gt;Assumptions!$B$5,C55&gt;0),INDEX(Assumptions!$B$35:$B$39,C55),0)</f>
        <v>1.25</v>
      </c>
      <c r="E55" s="27">
        <f>E54*(1-Assumptions!$B$9)+D55</f>
        <v>25.977317552459159</v>
      </c>
      <c r="F55" s="15">
        <f>E55*Assumptions!$B$6</f>
        <v>64943.293881147896</v>
      </c>
      <c r="G55" s="15">
        <f>F55*Assumptions!$B$7</f>
        <v>6494.3293881147902</v>
      </c>
      <c r="H55" s="15">
        <f>E55*Assumptions!$B$8</f>
        <v>3766.7110451065778</v>
      </c>
      <c r="I55" s="15">
        <f>IF(A55&lt;=Assumptions!$B$5,Assumptions!$B$13+Assumptions!$B$14+Assumptions!$B$15+Assumptions!$B$16+IF(A55&gt;=Assumptions!$B$11,Assumptions!$B$17,0),SUM(Assumptions!$B$19:$B$24))</f>
        <v>5200</v>
      </c>
      <c r="J55" s="15">
        <f>IF(C55&gt;0,INDEX(Assumptions!$B$41:$B$45,C55),0)</f>
        <v>1000</v>
      </c>
      <c r="K55" s="15">
        <f>SUMIF(Assumptions!$B$27:$B$31,A55,Assumptions!$C$27:$C$31)</f>
        <v>0</v>
      </c>
      <c r="L55" s="15">
        <f>SUMPRODUCT((Assumptions!$D$48:$D$54&lt;=A55)*Assumptions!$F$48:$F$54)</f>
        <v>37710.833333333336</v>
      </c>
      <c r="M55" s="15">
        <f>IF(A55&lt;=Assumptions!$B$5,(I55+K55)*Assumptions!$B$10,0)</f>
        <v>0</v>
      </c>
      <c r="N55" s="15">
        <f t="shared" si="7"/>
        <v>54171.873766554701</v>
      </c>
      <c r="O55" s="15">
        <f t="shared" si="8"/>
        <v>10771.420114593195</v>
      </c>
      <c r="P55" s="15">
        <f t="shared" si="9"/>
        <v>413785.35691949003</v>
      </c>
    </row>
    <row r="56" spans="1:16" x14ac:dyDescent="0.3">
      <c r="A56" s="26">
        <v>53</v>
      </c>
      <c r="B56" s="5" t="str">
        <f t="shared" si="5"/>
        <v>Year 4</v>
      </c>
      <c r="C56" s="5">
        <f t="shared" si="6"/>
        <v>4</v>
      </c>
      <c r="D56" s="27">
        <f>IF(A56=Assumptions!$B$5,1,0)+IF(AND(A56&gt;Assumptions!$B$5,C56&gt;0),INDEX(Assumptions!$B$35:$B$39,C56),0)</f>
        <v>1.25</v>
      </c>
      <c r="E56" s="27">
        <f>E55*(1-Assumptions!$B$9)+D56</f>
        <v>26.837657789172273</v>
      </c>
      <c r="F56" s="15">
        <f>E56*Assumptions!$B$6</f>
        <v>67094.144472930682</v>
      </c>
      <c r="G56" s="15">
        <f>F56*Assumptions!$B$7</f>
        <v>6709.4144472930684</v>
      </c>
      <c r="H56" s="15">
        <f>E56*Assumptions!$B$8</f>
        <v>3891.4603794299796</v>
      </c>
      <c r="I56" s="15">
        <f>IF(A56&lt;=Assumptions!$B$5,Assumptions!$B$13+Assumptions!$B$14+Assumptions!$B$15+Assumptions!$B$16+IF(A56&gt;=Assumptions!$B$11,Assumptions!$B$17,0),SUM(Assumptions!$B$19:$B$24))</f>
        <v>5200</v>
      </c>
      <c r="J56" s="15">
        <f>IF(C56&gt;0,INDEX(Assumptions!$B$41:$B$45,C56),0)</f>
        <v>1000</v>
      </c>
      <c r="K56" s="15">
        <f>SUMIF(Assumptions!$B$27:$B$31,A56,Assumptions!$C$27:$C$31)</f>
        <v>0</v>
      </c>
      <c r="L56" s="15">
        <f>SUMPRODUCT((Assumptions!$D$48:$D$54&lt;=A56)*Assumptions!$F$48:$F$54)</f>
        <v>37710.833333333336</v>
      </c>
      <c r="M56" s="15">
        <f>IF(A56&lt;=Assumptions!$B$5,(I56+K56)*Assumptions!$B$10,0)</f>
        <v>0</v>
      </c>
      <c r="N56" s="15">
        <f t="shared" si="7"/>
        <v>54511.708160056383</v>
      </c>
      <c r="O56" s="15">
        <f t="shared" si="8"/>
        <v>12582.436312874299</v>
      </c>
      <c r="P56" s="15">
        <f t="shared" si="9"/>
        <v>426367.79323236435</v>
      </c>
    </row>
    <row r="57" spans="1:16" x14ac:dyDescent="0.3">
      <c r="A57" s="26">
        <v>54</v>
      </c>
      <c r="B57" s="5" t="str">
        <f t="shared" si="5"/>
        <v>Year 4</v>
      </c>
      <c r="C57" s="5">
        <f t="shared" si="6"/>
        <v>4</v>
      </c>
      <c r="D57" s="27">
        <f>IF(A57=Assumptions!$B$5,1,0)+IF(AND(A57&gt;Assumptions!$B$5,C57&gt;0),INDEX(Assumptions!$B$35:$B$39,C57),0)</f>
        <v>1.25</v>
      </c>
      <c r="E57" s="27">
        <f>E56*(1-Assumptions!$B$9)+D57</f>
        <v>27.68509292233469</v>
      </c>
      <c r="F57" s="15">
        <f>E57*Assumptions!$B$6</f>
        <v>69212.732305836718</v>
      </c>
      <c r="G57" s="15">
        <f>F57*Assumptions!$B$7</f>
        <v>6921.2732305836726</v>
      </c>
      <c r="H57" s="15">
        <f>E57*Assumptions!$B$8</f>
        <v>4014.33847373853</v>
      </c>
      <c r="I57" s="15">
        <f>IF(A57&lt;=Assumptions!$B$5,Assumptions!$B$13+Assumptions!$B$14+Assumptions!$B$15+Assumptions!$B$16+IF(A57&gt;=Assumptions!$B$11,Assumptions!$B$17,0),SUM(Assumptions!$B$19:$B$24))</f>
        <v>5200</v>
      </c>
      <c r="J57" s="15">
        <f>IF(C57&gt;0,INDEX(Assumptions!$B$41:$B$45,C57),0)</f>
        <v>1000</v>
      </c>
      <c r="K57" s="15">
        <f>SUMIF(Assumptions!$B$27:$B$31,A57,Assumptions!$C$27:$C$31)</f>
        <v>0</v>
      </c>
      <c r="L57" s="15">
        <f>SUMPRODUCT((Assumptions!$D$48:$D$54&lt;=A57)*Assumptions!$F$48:$F$54)</f>
        <v>37710.833333333336</v>
      </c>
      <c r="M57" s="15">
        <f>IF(A57&lt;=Assumptions!$B$5,(I57+K57)*Assumptions!$B$10,0)</f>
        <v>0</v>
      </c>
      <c r="N57" s="15">
        <f t="shared" si="7"/>
        <v>54846.44503765554</v>
      </c>
      <c r="O57" s="15">
        <f t="shared" si="8"/>
        <v>14366.287268181179</v>
      </c>
      <c r="P57" s="15">
        <f t="shared" si="9"/>
        <v>440734.0805005455</v>
      </c>
    </row>
    <row r="58" spans="1:16" x14ac:dyDescent="0.3">
      <c r="A58" s="26">
        <v>55</v>
      </c>
      <c r="B58" s="5" t="str">
        <f t="shared" si="5"/>
        <v>Year 4</v>
      </c>
      <c r="C58" s="5">
        <f t="shared" si="6"/>
        <v>4</v>
      </c>
      <c r="D58" s="27">
        <f>IF(A58=Assumptions!$B$5,1,0)+IF(AND(A58&gt;Assumptions!$B$5,C58&gt;0),INDEX(Assumptions!$B$35:$B$39,C58),0)</f>
        <v>1.25</v>
      </c>
      <c r="E58" s="27">
        <f>E57*(1-Assumptions!$B$9)+D58</f>
        <v>28.519816528499668</v>
      </c>
      <c r="F58" s="15">
        <f>E58*Assumptions!$B$6</f>
        <v>71299.541321249169</v>
      </c>
      <c r="G58" s="15">
        <f>F58*Assumptions!$B$7</f>
        <v>7129.9541321249171</v>
      </c>
      <c r="H58" s="15">
        <f>E58*Assumptions!$B$8</f>
        <v>4135.3733966324517</v>
      </c>
      <c r="I58" s="15">
        <f>IF(A58&lt;=Assumptions!$B$5,Assumptions!$B$13+Assumptions!$B$14+Assumptions!$B$15+Assumptions!$B$16+IF(A58&gt;=Assumptions!$B$11,Assumptions!$B$17,0),SUM(Assumptions!$B$19:$B$24))</f>
        <v>5200</v>
      </c>
      <c r="J58" s="15">
        <f>IF(C58&gt;0,INDEX(Assumptions!$B$41:$B$45,C58),0)</f>
        <v>1000</v>
      </c>
      <c r="K58" s="15">
        <f>SUMIF(Assumptions!$B$27:$B$31,A58,Assumptions!$C$27:$C$31)</f>
        <v>0</v>
      </c>
      <c r="L58" s="15">
        <f>SUMPRODUCT((Assumptions!$D$48:$D$54&lt;=A58)*Assumptions!$F$48:$F$54)</f>
        <v>37710.833333333336</v>
      </c>
      <c r="M58" s="15">
        <f>IF(A58&lt;=Assumptions!$B$5,(I58+K58)*Assumptions!$B$10,0)</f>
        <v>0</v>
      </c>
      <c r="N58" s="15">
        <f t="shared" si="7"/>
        <v>55176.160862090706</v>
      </c>
      <c r="O58" s="15">
        <f t="shared" si="8"/>
        <v>16123.380459158463</v>
      </c>
      <c r="P58" s="15">
        <f t="shared" si="9"/>
        <v>456857.46095970395</v>
      </c>
    </row>
    <row r="59" spans="1:16" x14ac:dyDescent="0.3">
      <c r="A59" s="26">
        <v>56</v>
      </c>
      <c r="B59" s="5" t="str">
        <f t="shared" si="5"/>
        <v>Year 4</v>
      </c>
      <c r="C59" s="5">
        <f t="shared" si="6"/>
        <v>4</v>
      </c>
      <c r="D59" s="27">
        <f>IF(A59=Assumptions!$B$5,1,0)+IF(AND(A59&gt;Assumptions!$B$5,C59&gt;0),INDEX(Assumptions!$B$35:$B$39,C59),0)</f>
        <v>1.25</v>
      </c>
      <c r="E59" s="27">
        <f>E58*(1-Assumptions!$B$9)+D59</f>
        <v>29.342019280572174</v>
      </c>
      <c r="F59" s="15">
        <f>E59*Assumptions!$B$6</f>
        <v>73355.048201430429</v>
      </c>
      <c r="G59" s="15">
        <f>F59*Assumptions!$B$7</f>
        <v>7335.5048201430436</v>
      </c>
      <c r="H59" s="15">
        <f>E59*Assumptions!$B$8</f>
        <v>4254.5927956829655</v>
      </c>
      <c r="I59" s="15">
        <f>IF(A59&lt;=Assumptions!$B$5,Assumptions!$B$13+Assumptions!$B$14+Assumptions!$B$15+Assumptions!$B$16+IF(A59&gt;=Assumptions!$B$11,Assumptions!$B$17,0),SUM(Assumptions!$B$19:$B$24))</f>
        <v>5200</v>
      </c>
      <c r="J59" s="15">
        <f>IF(C59&gt;0,INDEX(Assumptions!$B$41:$B$45,C59),0)</f>
        <v>1000</v>
      </c>
      <c r="K59" s="15">
        <f>SUMIF(Assumptions!$B$27:$B$31,A59,Assumptions!$C$27:$C$31)</f>
        <v>0</v>
      </c>
      <c r="L59" s="15">
        <f>SUMPRODUCT((Assumptions!$D$48:$D$54&lt;=A59)*Assumptions!$F$48:$F$54)</f>
        <v>37710.833333333336</v>
      </c>
      <c r="M59" s="15">
        <f>IF(A59&lt;=Assumptions!$B$5,(I59+K59)*Assumptions!$B$10,0)</f>
        <v>0</v>
      </c>
      <c r="N59" s="15">
        <f t="shared" si="7"/>
        <v>55500.930949159345</v>
      </c>
      <c r="O59" s="15">
        <f t="shared" si="8"/>
        <v>17854.117252271084</v>
      </c>
      <c r="P59" s="15">
        <f t="shared" si="9"/>
        <v>474711.57821197505</v>
      </c>
    </row>
    <row r="60" spans="1:16" x14ac:dyDescent="0.3">
      <c r="A60" s="26">
        <v>57</v>
      </c>
      <c r="B60" s="5" t="str">
        <f t="shared" si="5"/>
        <v>Year 4</v>
      </c>
      <c r="C60" s="5">
        <f t="shared" si="6"/>
        <v>4</v>
      </c>
      <c r="D60" s="27">
        <f>IF(A60=Assumptions!$B$5,1,0)+IF(AND(A60&gt;Assumptions!$B$5,C60&gt;0),INDEX(Assumptions!$B$35:$B$39,C60),0)</f>
        <v>1.25</v>
      </c>
      <c r="E60" s="27">
        <f>E59*(1-Assumptions!$B$9)+D60</f>
        <v>30.151888991363592</v>
      </c>
      <c r="F60" s="15">
        <f>E60*Assumptions!$B$6</f>
        <v>75379.722478408978</v>
      </c>
      <c r="G60" s="15">
        <f>F60*Assumptions!$B$7</f>
        <v>7537.9722478408985</v>
      </c>
      <c r="H60" s="15">
        <f>E60*Assumptions!$B$8</f>
        <v>4372.0239037477204</v>
      </c>
      <c r="I60" s="15">
        <f>IF(A60&lt;=Assumptions!$B$5,Assumptions!$B$13+Assumptions!$B$14+Assumptions!$B$15+Assumptions!$B$16+IF(A60&gt;=Assumptions!$B$11,Assumptions!$B$17,0),SUM(Assumptions!$B$19:$B$24))</f>
        <v>5200</v>
      </c>
      <c r="J60" s="15">
        <f>IF(C60&gt;0,INDEX(Assumptions!$B$41:$B$45,C60),0)</f>
        <v>1000</v>
      </c>
      <c r="K60" s="15">
        <f>SUMIF(Assumptions!$B$27:$B$31,A60,Assumptions!$C$27:$C$31)</f>
        <v>0</v>
      </c>
      <c r="L60" s="15">
        <f>SUMPRODUCT((Assumptions!$D$48:$D$54&lt;=A60)*Assumptions!$F$48:$F$54)</f>
        <v>37710.833333333336</v>
      </c>
      <c r="M60" s="15">
        <f>IF(A60&lt;=Assumptions!$B$5,(I60+K60)*Assumptions!$B$10,0)</f>
        <v>0</v>
      </c>
      <c r="N60" s="15">
        <f t="shared" si="7"/>
        <v>55820.829484921953</v>
      </c>
      <c r="O60" s="15">
        <f t="shared" si="8"/>
        <v>19558.892993487025</v>
      </c>
      <c r="P60" s="15">
        <f t="shared" si="9"/>
        <v>494270.47120546206</v>
      </c>
    </row>
    <row r="61" spans="1:16" x14ac:dyDescent="0.3">
      <c r="A61" s="26">
        <v>58</v>
      </c>
      <c r="B61" s="5" t="str">
        <f t="shared" si="5"/>
        <v>Year 4</v>
      </c>
      <c r="C61" s="5">
        <f t="shared" si="6"/>
        <v>4</v>
      </c>
      <c r="D61" s="27">
        <f>IF(A61=Assumptions!$B$5,1,0)+IF(AND(A61&gt;Assumptions!$B$5,C61&gt;0),INDEX(Assumptions!$B$35:$B$39,C61),0)</f>
        <v>1.25</v>
      </c>
      <c r="E61" s="27">
        <f>E60*(1-Assumptions!$B$9)+D61</f>
        <v>30.949610656493139</v>
      </c>
      <c r="F61" s="15">
        <f>E61*Assumptions!$B$6</f>
        <v>77374.026641232849</v>
      </c>
      <c r="G61" s="15">
        <f>F61*Assumptions!$B$7</f>
        <v>7737.4026641232849</v>
      </c>
      <c r="H61" s="15">
        <f>E61*Assumptions!$B$8</f>
        <v>4487.6935451915051</v>
      </c>
      <c r="I61" s="15">
        <f>IF(A61&lt;=Assumptions!$B$5,Assumptions!$B$13+Assumptions!$B$14+Assumptions!$B$15+Assumptions!$B$16+IF(A61&gt;=Assumptions!$B$11,Assumptions!$B$17,0),SUM(Assumptions!$B$19:$B$24))</f>
        <v>5200</v>
      </c>
      <c r="J61" s="15">
        <f>IF(C61&gt;0,INDEX(Assumptions!$B$41:$B$45,C61),0)</f>
        <v>1000</v>
      </c>
      <c r="K61" s="15">
        <f>SUMIF(Assumptions!$B$27:$B$31,A61,Assumptions!$C$27:$C$31)</f>
        <v>0</v>
      </c>
      <c r="L61" s="15">
        <f>SUMPRODUCT((Assumptions!$D$48:$D$54&lt;=A61)*Assumptions!$F$48:$F$54)</f>
        <v>37710.833333333336</v>
      </c>
      <c r="M61" s="15">
        <f>IF(A61&lt;=Assumptions!$B$5,(I61+K61)*Assumptions!$B$10,0)</f>
        <v>0</v>
      </c>
      <c r="N61" s="15">
        <f t="shared" si="7"/>
        <v>56135.929542648126</v>
      </c>
      <c r="O61" s="15">
        <f t="shared" si="8"/>
        <v>21238.097098584723</v>
      </c>
      <c r="P61" s="15">
        <f t="shared" si="9"/>
        <v>515508.56830404676</v>
      </c>
    </row>
    <row r="62" spans="1:16" x14ac:dyDescent="0.3">
      <c r="A62" s="26">
        <v>59</v>
      </c>
      <c r="B62" s="5" t="str">
        <f t="shared" si="5"/>
        <v>Year 4</v>
      </c>
      <c r="C62" s="5">
        <f t="shared" si="6"/>
        <v>4</v>
      </c>
      <c r="D62" s="27">
        <f>IF(A62=Assumptions!$B$5,1,0)+IF(AND(A62&gt;Assumptions!$B$5,C62&gt;0),INDEX(Assumptions!$B$35:$B$39,C62),0)</f>
        <v>1.25</v>
      </c>
      <c r="E62" s="27">
        <f>E61*(1-Assumptions!$B$9)+D62</f>
        <v>31.735366496645742</v>
      </c>
      <c r="F62" s="15">
        <f>E62*Assumptions!$B$6</f>
        <v>79338.416241614352</v>
      </c>
      <c r="G62" s="15">
        <f>F62*Assumptions!$B$7</f>
        <v>7933.8416241614359</v>
      </c>
      <c r="H62" s="15">
        <f>E62*Assumptions!$B$8</f>
        <v>4601.6281420136329</v>
      </c>
      <c r="I62" s="15">
        <f>IF(A62&lt;=Assumptions!$B$5,Assumptions!$B$13+Assumptions!$B$14+Assumptions!$B$15+Assumptions!$B$16+IF(A62&gt;=Assumptions!$B$11,Assumptions!$B$17,0),SUM(Assumptions!$B$19:$B$24))</f>
        <v>5200</v>
      </c>
      <c r="J62" s="15">
        <f>IF(C62&gt;0,INDEX(Assumptions!$B$41:$B$45,C62),0)</f>
        <v>1000</v>
      </c>
      <c r="K62" s="15">
        <f>SUMIF(Assumptions!$B$27:$B$31,A62,Assumptions!$C$27:$C$31)</f>
        <v>0</v>
      </c>
      <c r="L62" s="15">
        <f>SUMPRODUCT((Assumptions!$D$48:$D$54&lt;=A62)*Assumptions!$F$48:$F$54)</f>
        <v>37710.833333333336</v>
      </c>
      <c r="M62" s="15">
        <f>IF(A62&lt;=Assumptions!$B$5,(I62+K62)*Assumptions!$B$10,0)</f>
        <v>0</v>
      </c>
      <c r="N62" s="15">
        <f t="shared" si="7"/>
        <v>56446.303099508405</v>
      </c>
      <c r="O62" s="15">
        <f t="shared" si="8"/>
        <v>22892.113142105947</v>
      </c>
      <c r="P62" s="15">
        <f t="shared" si="9"/>
        <v>538400.68144615274</v>
      </c>
    </row>
    <row r="63" spans="1:16" x14ac:dyDescent="0.3">
      <c r="A63" s="26">
        <v>60</v>
      </c>
      <c r="B63" s="5" t="str">
        <f t="shared" si="5"/>
        <v>Year 4</v>
      </c>
      <c r="C63" s="5">
        <f t="shared" si="6"/>
        <v>4</v>
      </c>
      <c r="D63" s="27">
        <f>IF(A63=Assumptions!$B$5,1,0)+IF(AND(A63&gt;Assumptions!$B$5,C63&gt;0),INDEX(Assumptions!$B$35:$B$39,C63),0)</f>
        <v>1.25</v>
      </c>
      <c r="E63" s="27">
        <f>E62*(1-Assumptions!$B$9)+D63</f>
        <v>32.509335999196054</v>
      </c>
      <c r="F63" s="15">
        <f>E63*Assumptions!$B$6</f>
        <v>81273.33999799013</v>
      </c>
      <c r="G63" s="15">
        <f>F63*Assumptions!$B$7</f>
        <v>8127.3339997990133</v>
      </c>
      <c r="H63" s="15">
        <f>E63*Assumptions!$B$8</f>
        <v>4713.8537198834274</v>
      </c>
      <c r="I63" s="15">
        <f>IF(A63&lt;=Assumptions!$B$5,Assumptions!$B$13+Assumptions!$B$14+Assumptions!$B$15+Assumptions!$B$16+IF(A63&gt;=Assumptions!$B$11,Assumptions!$B$17,0),SUM(Assumptions!$B$19:$B$24))</f>
        <v>5200</v>
      </c>
      <c r="J63" s="15">
        <f>IF(C63&gt;0,INDEX(Assumptions!$B$41:$B$45,C63),0)</f>
        <v>1000</v>
      </c>
      <c r="K63" s="15">
        <f>SUMIF(Assumptions!$B$27:$B$31,A63,Assumptions!$C$27:$C$31)</f>
        <v>0</v>
      </c>
      <c r="L63" s="15">
        <f>SUMPRODUCT((Assumptions!$D$48:$D$54&lt;=A63)*Assumptions!$F$48:$F$54)</f>
        <v>37710.833333333336</v>
      </c>
      <c r="M63" s="15">
        <f>IF(A63&lt;=Assumptions!$B$5,(I63+K63)*Assumptions!$B$10,0)</f>
        <v>0</v>
      </c>
      <c r="N63" s="15">
        <f t="shared" si="7"/>
        <v>56752.021053015778</v>
      </c>
      <c r="O63" s="15">
        <f t="shared" si="8"/>
        <v>24521.318944974351</v>
      </c>
      <c r="P63" s="15">
        <f t="shared" si="9"/>
        <v>562922.00039112708</v>
      </c>
    </row>
    <row r="64" spans="1:16" x14ac:dyDescent="0.3">
      <c r="A64" s="26">
        <v>61</v>
      </c>
      <c r="B64" s="5" t="str">
        <f t="shared" si="5"/>
        <v>Year 5</v>
      </c>
      <c r="C64" s="5">
        <f t="shared" si="6"/>
        <v>5</v>
      </c>
      <c r="D64" s="27">
        <f>IF(A64=Assumptions!$B$5,1,0)+IF(AND(A64&gt;Assumptions!$B$5,C64&gt;0),INDEX(Assumptions!$B$35:$B$39,C64),0)</f>
        <v>1.5</v>
      </c>
      <c r="E64" s="27">
        <f>E63*(1-Assumptions!$B$9)+D64</f>
        <v>33.52169595920811</v>
      </c>
      <c r="F64" s="15">
        <f>E64*Assumptions!$B$6</f>
        <v>83804.239898020271</v>
      </c>
      <c r="G64" s="15">
        <f>F64*Assumptions!$B$7</f>
        <v>8380.4239898020278</v>
      </c>
      <c r="H64" s="15">
        <f>E64*Assumptions!$B$8</f>
        <v>4860.6459140851757</v>
      </c>
      <c r="I64" s="15">
        <f>IF(A64&lt;=Assumptions!$B$5,Assumptions!$B$13+Assumptions!$B$14+Assumptions!$B$15+Assumptions!$B$16+IF(A64&gt;=Assumptions!$B$11,Assumptions!$B$17,0),SUM(Assumptions!$B$19:$B$24))</f>
        <v>5200</v>
      </c>
      <c r="J64" s="15">
        <f>IF(C64&gt;0,INDEX(Assumptions!$B$41:$B$45,C64),0)</f>
        <v>2000</v>
      </c>
      <c r="K64" s="15">
        <f>SUMIF(Assumptions!$B$27:$B$31,A64,Assumptions!$C$27:$C$31)</f>
        <v>0</v>
      </c>
      <c r="L64" s="15">
        <f>SUMPRODUCT((Assumptions!$D$48:$D$54&lt;=A64)*Assumptions!$F$48:$F$54)</f>
        <v>52710.833333333336</v>
      </c>
      <c r="M64" s="15">
        <f>IF(A64&lt;=Assumptions!$B$5,(I64+K64)*Assumptions!$B$10,0)</f>
        <v>0</v>
      </c>
      <c r="N64" s="15">
        <f t="shared" si="7"/>
        <v>73151.90323722054</v>
      </c>
      <c r="O64" s="15">
        <f t="shared" si="8"/>
        <v>10652.33666079973</v>
      </c>
      <c r="P64" s="15">
        <f t="shared" si="9"/>
        <v>573574.33705192676</v>
      </c>
    </row>
    <row r="65" spans="1:16" x14ac:dyDescent="0.3">
      <c r="A65" s="26">
        <v>62</v>
      </c>
      <c r="B65" s="5" t="str">
        <f t="shared" si="5"/>
        <v>Year 5</v>
      </c>
      <c r="C65" s="5">
        <f t="shared" si="6"/>
        <v>5</v>
      </c>
      <c r="D65" s="27">
        <f>IF(A65=Assumptions!$B$5,1,0)+IF(AND(A65&gt;Assumptions!$B$5,C65&gt;0),INDEX(Assumptions!$B$35:$B$39,C65),0)</f>
        <v>1.5</v>
      </c>
      <c r="E65" s="27">
        <f>E64*(1-Assumptions!$B$9)+D65</f>
        <v>34.518870519819984</v>
      </c>
      <c r="F65" s="15">
        <f>E65*Assumptions!$B$6</f>
        <v>86297.176299549959</v>
      </c>
      <c r="G65" s="15">
        <f>F65*Assumptions!$B$7</f>
        <v>8629.7176299549956</v>
      </c>
      <c r="H65" s="15">
        <f>E65*Assumptions!$B$8</f>
        <v>5005.2362253738975</v>
      </c>
      <c r="I65" s="15">
        <f>IF(A65&lt;=Assumptions!$B$5,Assumptions!$B$13+Assumptions!$B$14+Assumptions!$B$15+Assumptions!$B$16+IF(A65&gt;=Assumptions!$B$11,Assumptions!$B$17,0),SUM(Assumptions!$B$19:$B$24))</f>
        <v>5200</v>
      </c>
      <c r="J65" s="15">
        <f>IF(C65&gt;0,INDEX(Assumptions!$B$41:$B$45,C65),0)</f>
        <v>2000</v>
      </c>
      <c r="K65" s="15">
        <f>SUMIF(Assumptions!$B$27:$B$31,A65,Assumptions!$C$27:$C$31)</f>
        <v>0</v>
      </c>
      <c r="L65" s="15">
        <f>SUMPRODUCT((Assumptions!$D$48:$D$54&lt;=A65)*Assumptions!$F$48:$F$54)</f>
        <v>52710.833333333336</v>
      </c>
      <c r="M65" s="15">
        <f>IF(A65&lt;=Assumptions!$B$5,(I65+K65)*Assumptions!$B$10,0)</f>
        <v>0</v>
      </c>
      <c r="N65" s="15">
        <f t="shared" si="7"/>
        <v>73545.787188662231</v>
      </c>
      <c r="O65" s="15">
        <f t="shared" si="8"/>
        <v>12751.389110887729</v>
      </c>
      <c r="P65" s="15">
        <f t="shared" si="9"/>
        <v>586325.72616281454</v>
      </c>
    </row>
    <row r="66" spans="1:16" x14ac:dyDescent="0.3">
      <c r="A66" s="26">
        <v>63</v>
      </c>
      <c r="B66" s="5" t="str">
        <f t="shared" si="5"/>
        <v>Year 5</v>
      </c>
      <c r="C66" s="5">
        <f t="shared" si="6"/>
        <v>5</v>
      </c>
      <c r="D66" s="27">
        <f>IF(A66=Assumptions!$B$5,1,0)+IF(AND(A66&gt;Assumptions!$B$5,C66&gt;0),INDEX(Assumptions!$B$35:$B$39,C66),0)</f>
        <v>1.5</v>
      </c>
      <c r="E66" s="27">
        <f>E65*(1-Assumptions!$B$9)+D66</f>
        <v>35.501087462022682</v>
      </c>
      <c r="F66" s="15">
        <f>E66*Assumptions!$B$6</f>
        <v>88752.718655056698</v>
      </c>
      <c r="G66" s="15">
        <f>F66*Assumptions!$B$7</f>
        <v>8875.2718655056706</v>
      </c>
      <c r="H66" s="15">
        <f>E66*Assumptions!$B$8</f>
        <v>5147.6576819932889</v>
      </c>
      <c r="I66" s="15">
        <f>IF(A66&lt;=Assumptions!$B$5,Assumptions!$B$13+Assumptions!$B$14+Assumptions!$B$15+Assumptions!$B$16+IF(A66&gt;=Assumptions!$B$11,Assumptions!$B$17,0),SUM(Assumptions!$B$19:$B$24))</f>
        <v>5200</v>
      </c>
      <c r="J66" s="15">
        <f>IF(C66&gt;0,INDEX(Assumptions!$B$41:$B$45,C66),0)</f>
        <v>2000</v>
      </c>
      <c r="K66" s="15">
        <f>SUMIF(Assumptions!$B$27:$B$31,A66,Assumptions!$C$27:$C$31)</f>
        <v>0</v>
      </c>
      <c r="L66" s="15">
        <f>SUMPRODUCT((Assumptions!$D$48:$D$54&lt;=A66)*Assumptions!$F$48:$F$54)</f>
        <v>52710.833333333336</v>
      </c>
      <c r="M66" s="15">
        <f>IF(A66&lt;=Assumptions!$B$5,(I66+K66)*Assumptions!$B$10,0)</f>
        <v>0</v>
      </c>
      <c r="N66" s="15">
        <f t="shared" si="7"/>
        <v>73933.762880832292</v>
      </c>
      <c r="O66" s="15">
        <f t="shared" si="8"/>
        <v>14818.955774224407</v>
      </c>
      <c r="P66" s="15">
        <f t="shared" si="9"/>
        <v>601144.6819370389</v>
      </c>
    </row>
    <row r="67" spans="1:16" x14ac:dyDescent="0.3">
      <c r="A67" s="26">
        <v>64</v>
      </c>
      <c r="B67" s="5" t="str">
        <f t="shared" si="5"/>
        <v>Year 5</v>
      </c>
      <c r="C67" s="5">
        <f t="shared" si="6"/>
        <v>5</v>
      </c>
      <c r="D67" s="27">
        <f>IF(A67=Assumptions!$B$5,1,0)+IF(AND(A67&gt;Assumptions!$B$5,C67&gt;0),INDEX(Assumptions!$B$35:$B$39,C67),0)</f>
        <v>1.5</v>
      </c>
      <c r="E67" s="27">
        <f>E66*(1-Assumptions!$B$9)+D67</f>
        <v>36.468571150092338</v>
      </c>
      <c r="F67" s="15">
        <f>E67*Assumptions!$B$6</f>
        <v>91171.427875230846</v>
      </c>
      <c r="G67" s="15">
        <f>F67*Assumptions!$B$7</f>
        <v>9117.1427875230856</v>
      </c>
      <c r="H67" s="15">
        <f>E67*Assumptions!$B$8</f>
        <v>5287.9428167633887</v>
      </c>
      <c r="I67" s="15">
        <f>IF(A67&lt;=Assumptions!$B$5,Assumptions!$B$13+Assumptions!$B$14+Assumptions!$B$15+Assumptions!$B$16+IF(A67&gt;=Assumptions!$B$11,Assumptions!$B$17,0),SUM(Assumptions!$B$19:$B$24))</f>
        <v>5200</v>
      </c>
      <c r="J67" s="15">
        <f>IF(C67&gt;0,INDEX(Assumptions!$B$41:$B$45,C67),0)</f>
        <v>2000</v>
      </c>
      <c r="K67" s="15">
        <f>SUMIF(Assumptions!$B$27:$B$31,A67,Assumptions!$C$27:$C$31)</f>
        <v>0</v>
      </c>
      <c r="L67" s="15">
        <f>SUMPRODUCT((Assumptions!$D$48:$D$54&lt;=A67)*Assumptions!$F$48:$F$54)</f>
        <v>52710.833333333336</v>
      </c>
      <c r="M67" s="15">
        <f>IF(A67&lt;=Assumptions!$B$5,(I67+K67)*Assumptions!$B$10,0)</f>
        <v>0</v>
      </c>
      <c r="N67" s="15">
        <f t="shared" si="7"/>
        <v>74315.918937619805</v>
      </c>
      <c r="O67" s="15">
        <f t="shared" si="8"/>
        <v>16855.508937611041</v>
      </c>
      <c r="P67" s="15">
        <f t="shared" si="9"/>
        <v>618000.19087464991</v>
      </c>
    </row>
    <row r="68" spans="1:16" x14ac:dyDescent="0.3">
      <c r="A68" s="26">
        <v>65</v>
      </c>
      <c r="B68" s="5" t="str">
        <f t="shared" ref="B68:B99" si="10">"Year "&amp;INT((A68-1)/12)</f>
        <v>Year 5</v>
      </c>
      <c r="C68" s="5">
        <f t="shared" ref="C68:C75" si="11">IF(A68&lt;=12,0,INT((A68-13)/12)+1)</f>
        <v>5</v>
      </c>
      <c r="D68" s="27">
        <f>IF(A68=Assumptions!$B$5,1,0)+IF(AND(A68&gt;Assumptions!$B$5,C68&gt;0),INDEX(Assumptions!$B$35:$B$39,C68),0)</f>
        <v>1.5</v>
      </c>
      <c r="E68" s="27">
        <f>E67*(1-Assumptions!$B$9)+D68</f>
        <v>37.421542582840949</v>
      </c>
      <c r="F68" s="15">
        <f>E68*Assumptions!$B$6</f>
        <v>93553.856457102374</v>
      </c>
      <c r="G68" s="15">
        <f>F68*Assumptions!$B$7</f>
        <v>9355.3856457102374</v>
      </c>
      <c r="H68" s="15">
        <f>E68*Assumptions!$B$8</f>
        <v>5426.1236745119377</v>
      </c>
      <c r="I68" s="15">
        <f>IF(A68&lt;=Assumptions!$B$5,Assumptions!$B$13+Assumptions!$B$14+Assumptions!$B$15+Assumptions!$B$16+IF(A68&gt;=Assumptions!$B$11,Assumptions!$B$17,0),SUM(Assumptions!$B$19:$B$24))</f>
        <v>5200</v>
      </c>
      <c r="J68" s="15">
        <f>IF(C68&gt;0,INDEX(Assumptions!$B$41:$B$45,C68),0)</f>
        <v>2000</v>
      </c>
      <c r="K68" s="15">
        <f>SUMIF(Assumptions!$B$27:$B$31,A68,Assumptions!$C$27:$C$31)</f>
        <v>0</v>
      </c>
      <c r="L68" s="15">
        <f>SUMPRODUCT((Assumptions!$D$48:$D$54&lt;=A68)*Assumptions!$F$48:$F$54)</f>
        <v>52710.833333333336</v>
      </c>
      <c r="M68" s="15">
        <f>IF(A68&lt;=Assumptions!$B$5,(I68+K68)*Assumptions!$B$10,0)</f>
        <v>0</v>
      </c>
      <c r="N68" s="15">
        <f t="shared" ref="N68:N99" si="12">SUM(G68:M68)</f>
        <v>74692.342653555505</v>
      </c>
      <c r="O68" s="15">
        <f t="shared" ref="O68:O99" si="13">F68-N68</f>
        <v>18861.51380354687</v>
      </c>
      <c r="P68" s="15">
        <f t="shared" si="9"/>
        <v>636861.70467819681</v>
      </c>
    </row>
    <row r="69" spans="1:16" x14ac:dyDescent="0.3">
      <c r="A69" s="26">
        <v>66</v>
      </c>
      <c r="B69" s="5" t="str">
        <f t="shared" si="10"/>
        <v>Year 5</v>
      </c>
      <c r="C69" s="5">
        <f t="shared" si="11"/>
        <v>5</v>
      </c>
      <c r="D69" s="27">
        <f>IF(A69=Assumptions!$B$5,1,0)+IF(AND(A69&gt;Assumptions!$B$5,C69&gt;0),INDEX(Assumptions!$B$35:$B$39,C69),0)</f>
        <v>1.5</v>
      </c>
      <c r="E69" s="27">
        <f>E68*(1-Assumptions!$B$9)+D69</f>
        <v>38.360219444098334</v>
      </c>
      <c r="F69" s="15">
        <f>E69*Assumptions!$B$6</f>
        <v>95900.548610245838</v>
      </c>
      <c r="G69" s="15">
        <f>F69*Assumptions!$B$7</f>
        <v>9590.0548610245842</v>
      </c>
      <c r="H69" s="15">
        <f>E69*Assumptions!$B$8</f>
        <v>5562.2318193942583</v>
      </c>
      <c r="I69" s="15">
        <f>IF(A69&lt;=Assumptions!$B$5,Assumptions!$B$13+Assumptions!$B$14+Assumptions!$B$15+Assumptions!$B$16+IF(A69&gt;=Assumptions!$B$11,Assumptions!$B$17,0),SUM(Assumptions!$B$19:$B$24))</f>
        <v>5200</v>
      </c>
      <c r="J69" s="15">
        <f>IF(C69&gt;0,INDEX(Assumptions!$B$41:$B$45,C69),0)</f>
        <v>2000</v>
      </c>
      <c r="K69" s="15">
        <f>SUMIF(Assumptions!$B$27:$B$31,A69,Assumptions!$C$27:$C$31)</f>
        <v>0</v>
      </c>
      <c r="L69" s="15">
        <f>SUMPRODUCT((Assumptions!$D$48:$D$54&lt;=A69)*Assumptions!$F$48:$F$54)</f>
        <v>52710.833333333336</v>
      </c>
      <c r="M69" s="15">
        <f>IF(A69&lt;=Assumptions!$B$5,(I69+K69)*Assumptions!$B$10,0)</f>
        <v>0</v>
      </c>
      <c r="N69" s="15">
        <f t="shared" si="12"/>
        <v>75063.120013752181</v>
      </c>
      <c r="O69" s="15">
        <f t="shared" si="13"/>
        <v>20837.428596493657</v>
      </c>
      <c r="P69" s="15">
        <f t="shared" ref="P69:P100" si="14">P68+O69</f>
        <v>657699.13327469048</v>
      </c>
    </row>
    <row r="70" spans="1:16" x14ac:dyDescent="0.3">
      <c r="A70" s="26">
        <v>67</v>
      </c>
      <c r="B70" s="5" t="str">
        <f t="shared" si="10"/>
        <v>Year 5</v>
      </c>
      <c r="C70" s="5">
        <f t="shared" si="11"/>
        <v>5</v>
      </c>
      <c r="D70" s="27">
        <f>IF(A70=Assumptions!$B$5,1,0)+IF(AND(A70&gt;Assumptions!$B$5,C70&gt;0),INDEX(Assumptions!$B$35:$B$39,C70),0)</f>
        <v>1.5</v>
      </c>
      <c r="E70" s="27">
        <f>E69*(1-Assumptions!$B$9)+D70</f>
        <v>39.284816152436861</v>
      </c>
      <c r="F70" s="15">
        <f>E70*Assumptions!$B$6</f>
        <v>98212.040381092156</v>
      </c>
      <c r="G70" s="15">
        <f>F70*Assumptions!$B$7</f>
        <v>9821.2040381092156</v>
      </c>
      <c r="H70" s="15">
        <f>E70*Assumptions!$B$8</f>
        <v>5696.298342103345</v>
      </c>
      <c r="I70" s="15">
        <f>IF(A70&lt;=Assumptions!$B$5,Assumptions!$B$13+Assumptions!$B$14+Assumptions!$B$15+Assumptions!$B$16+IF(A70&gt;=Assumptions!$B$11,Assumptions!$B$17,0),SUM(Assumptions!$B$19:$B$24))</f>
        <v>5200</v>
      </c>
      <c r="J70" s="15">
        <f>IF(C70&gt;0,INDEX(Assumptions!$B$41:$B$45,C70),0)</f>
        <v>2000</v>
      </c>
      <c r="K70" s="15">
        <f>SUMIF(Assumptions!$B$27:$B$31,A70,Assumptions!$C$27:$C$31)</f>
        <v>0</v>
      </c>
      <c r="L70" s="15">
        <f>SUMPRODUCT((Assumptions!$D$48:$D$54&lt;=A70)*Assumptions!$F$48:$F$54)</f>
        <v>52710.833333333336</v>
      </c>
      <c r="M70" s="15">
        <f>IF(A70&lt;=Assumptions!$B$5,(I70+K70)*Assumptions!$B$10,0)</f>
        <v>0</v>
      </c>
      <c r="N70" s="15">
        <f t="shared" si="12"/>
        <v>75428.335713545894</v>
      </c>
      <c r="O70" s="15">
        <f t="shared" si="13"/>
        <v>22783.704667546262</v>
      </c>
      <c r="P70" s="15">
        <f t="shared" si="14"/>
        <v>680482.8379422368</v>
      </c>
    </row>
    <row r="71" spans="1:16" x14ac:dyDescent="0.3">
      <c r="A71" s="26">
        <v>68</v>
      </c>
      <c r="B71" s="5" t="str">
        <f t="shared" si="10"/>
        <v>Year 5</v>
      </c>
      <c r="C71" s="5">
        <f t="shared" si="11"/>
        <v>5</v>
      </c>
      <c r="D71" s="27">
        <f>IF(A71=Assumptions!$B$5,1,0)+IF(AND(A71&gt;Assumptions!$B$5,C71&gt;0),INDEX(Assumptions!$B$35:$B$39,C71),0)</f>
        <v>1.5</v>
      </c>
      <c r="E71" s="27">
        <f>E70*(1-Assumptions!$B$9)+D71</f>
        <v>40.195543910150306</v>
      </c>
      <c r="F71" s="15">
        <f>E71*Assumptions!$B$6</f>
        <v>100488.85977537576</v>
      </c>
      <c r="G71" s="15">
        <f>F71*Assumptions!$B$7</f>
        <v>10048.885977537577</v>
      </c>
      <c r="H71" s="15">
        <f>E71*Assumptions!$B$8</f>
        <v>5828.3538669717946</v>
      </c>
      <c r="I71" s="15">
        <f>IF(A71&lt;=Assumptions!$B$5,Assumptions!$B$13+Assumptions!$B$14+Assumptions!$B$15+Assumptions!$B$16+IF(A71&gt;=Assumptions!$B$11,Assumptions!$B$17,0),SUM(Assumptions!$B$19:$B$24))</f>
        <v>5200</v>
      </c>
      <c r="J71" s="15">
        <f>IF(C71&gt;0,INDEX(Assumptions!$B$41:$B$45,C71),0)</f>
        <v>2000</v>
      </c>
      <c r="K71" s="15">
        <f>SUMIF(Assumptions!$B$27:$B$31,A71,Assumptions!$C$27:$C$31)</f>
        <v>0</v>
      </c>
      <c r="L71" s="15">
        <f>SUMPRODUCT((Assumptions!$D$48:$D$54&lt;=A71)*Assumptions!$F$48:$F$54)</f>
        <v>52710.833333333336</v>
      </c>
      <c r="M71" s="15">
        <f>IF(A71&lt;=Assumptions!$B$5,(I71+K71)*Assumptions!$B$10,0)</f>
        <v>0</v>
      </c>
      <c r="N71" s="15">
        <f t="shared" si="12"/>
        <v>75788.073177842714</v>
      </c>
      <c r="O71" s="15">
        <f t="shared" si="13"/>
        <v>24700.78659753305</v>
      </c>
      <c r="P71" s="15">
        <f t="shared" si="14"/>
        <v>705183.62453976984</v>
      </c>
    </row>
    <row r="72" spans="1:16" x14ac:dyDescent="0.3">
      <c r="A72" s="26">
        <v>69</v>
      </c>
      <c r="B72" s="5" t="str">
        <f t="shared" si="10"/>
        <v>Year 5</v>
      </c>
      <c r="C72" s="5">
        <f t="shared" si="11"/>
        <v>5</v>
      </c>
      <c r="D72" s="27">
        <f>IF(A72=Assumptions!$B$5,1,0)+IF(AND(A72&gt;Assumptions!$B$5,C72&gt;0),INDEX(Assumptions!$B$35:$B$39,C72),0)</f>
        <v>1.5</v>
      </c>
      <c r="E72" s="27">
        <f>E71*(1-Assumptions!$B$9)+D72</f>
        <v>41.09261075149805</v>
      </c>
      <c r="F72" s="15">
        <f>E72*Assumptions!$B$6</f>
        <v>102731.52687874512</v>
      </c>
      <c r="G72" s="15">
        <f>F72*Assumptions!$B$7</f>
        <v>10273.152687874514</v>
      </c>
      <c r="H72" s="15">
        <f>E72*Assumptions!$B$8</f>
        <v>5958.4285589672172</v>
      </c>
      <c r="I72" s="15">
        <f>IF(A72&lt;=Assumptions!$B$5,Assumptions!$B$13+Assumptions!$B$14+Assumptions!$B$15+Assumptions!$B$16+IF(A72&gt;=Assumptions!$B$11,Assumptions!$B$17,0),SUM(Assumptions!$B$19:$B$24))</f>
        <v>5200</v>
      </c>
      <c r="J72" s="15">
        <f>IF(C72&gt;0,INDEX(Assumptions!$B$41:$B$45,C72),0)</f>
        <v>2000</v>
      </c>
      <c r="K72" s="15">
        <f>SUMIF(Assumptions!$B$27:$B$31,A72,Assumptions!$C$27:$C$31)</f>
        <v>0</v>
      </c>
      <c r="L72" s="15">
        <f>SUMPRODUCT((Assumptions!$D$48:$D$54&lt;=A72)*Assumptions!$F$48:$F$54)</f>
        <v>52710.833333333336</v>
      </c>
      <c r="M72" s="15">
        <f>IF(A72&lt;=Assumptions!$B$5,(I72+K72)*Assumptions!$B$10,0)</f>
        <v>0</v>
      </c>
      <c r="N72" s="15">
        <f t="shared" si="12"/>
        <v>76142.414580175071</v>
      </c>
      <c r="O72" s="15">
        <f t="shared" si="13"/>
        <v>26589.112298570049</v>
      </c>
      <c r="P72" s="15">
        <f t="shared" si="14"/>
        <v>731772.73683833983</v>
      </c>
    </row>
    <row r="73" spans="1:16" x14ac:dyDescent="0.3">
      <c r="A73" s="26">
        <v>70</v>
      </c>
      <c r="B73" s="5" t="str">
        <f t="shared" si="10"/>
        <v>Year 5</v>
      </c>
      <c r="C73" s="5">
        <f t="shared" si="11"/>
        <v>5</v>
      </c>
      <c r="D73" s="27">
        <f>IF(A73=Assumptions!$B$5,1,0)+IF(AND(A73&gt;Assumptions!$B$5,C73&gt;0),INDEX(Assumptions!$B$35:$B$39,C73),0)</f>
        <v>1.5</v>
      </c>
      <c r="E73" s="27">
        <f>E72*(1-Assumptions!$B$9)+D73</f>
        <v>41.976221590225578</v>
      </c>
      <c r="F73" s="15">
        <f>E73*Assumptions!$B$6</f>
        <v>104940.55397556395</v>
      </c>
      <c r="G73" s="15">
        <f>F73*Assumptions!$B$7</f>
        <v>10494.055397556396</v>
      </c>
      <c r="H73" s="15">
        <f>E73*Assumptions!$B$8</f>
        <v>6086.5521305827087</v>
      </c>
      <c r="I73" s="15">
        <f>IF(A73&lt;=Assumptions!$B$5,Assumptions!$B$13+Assumptions!$B$14+Assumptions!$B$15+Assumptions!$B$16+IF(A73&gt;=Assumptions!$B$11,Assumptions!$B$17,0),SUM(Assumptions!$B$19:$B$24))</f>
        <v>5200</v>
      </c>
      <c r="J73" s="15">
        <f>IF(C73&gt;0,INDEX(Assumptions!$B$41:$B$45,C73),0)</f>
        <v>2000</v>
      </c>
      <c r="K73" s="15">
        <f>SUMIF(Assumptions!$B$27:$B$31,A73,Assumptions!$C$27:$C$31)</f>
        <v>0</v>
      </c>
      <c r="L73" s="15">
        <f>SUMPRODUCT((Assumptions!$D$48:$D$54&lt;=A73)*Assumptions!$F$48:$F$54)</f>
        <v>52710.833333333336</v>
      </c>
      <c r="M73" s="15">
        <f>IF(A73&lt;=Assumptions!$B$5,(I73+K73)*Assumptions!$B$10,0)</f>
        <v>0</v>
      </c>
      <c r="N73" s="15">
        <f t="shared" si="12"/>
        <v>76491.440861472438</v>
      </c>
      <c r="O73" s="15">
        <f t="shared" si="13"/>
        <v>28449.113114091509</v>
      </c>
      <c r="P73" s="15">
        <f t="shared" si="14"/>
        <v>760221.8499524314</v>
      </c>
    </row>
    <row r="74" spans="1:16" x14ac:dyDescent="0.3">
      <c r="A74" s="26">
        <v>71</v>
      </c>
      <c r="B74" s="5" t="str">
        <f t="shared" si="10"/>
        <v>Year 5</v>
      </c>
      <c r="C74" s="5">
        <f t="shared" si="11"/>
        <v>5</v>
      </c>
      <c r="D74" s="27">
        <f>IF(A74=Assumptions!$B$5,1,0)+IF(AND(A74&gt;Assumptions!$B$5,C74&gt;0),INDEX(Assumptions!$B$35:$B$39,C74),0)</f>
        <v>1.5</v>
      </c>
      <c r="E74" s="27">
        <f>E73*(1-Assumptions!$B$9)+D74</f>
        <v>42.846578266372191</v>
      </c>
      <c r="F74" s="15">
        <f>E74*Assumptions!$B$6</f>
        <v>107116.44566593047</v>
      </c>
      <c r="G74" s="15">
        <f>F74*Assumptions!$B$7</f>
        <v>10711.644566593048</v>
      </c>
      <c r="H74" s="15">
        <f>E74*Assumptions!$B$8</f>
        <v>6212.7538486239673</v>
      </c>
      <c r="I74" s="15">
        <f>IF(A74&lt;=Assumptions!$B$5,Assumptions!$B$13+Assumptions!$B$14+Assumptions!$B$15+Assumptions!$B$16+IF(A74&gt;=Assumptions!$B$11,Assumptions!$B$17,0),SUM(Assumptions!$B$19:$B$24))</f>
        <v>5200</v>
      </c>
      <c r="J74" s="15">
        <f>IF(C74&gt;0,INDEX(Assumptions!$B$41:$B$45,C74),0)</f>
        <v>2000</v>
      </c>
      <c r="K74" s="15">
        <f>SUMIF(Assumptions!$B$27:$B$31,A74,Assumptions!$C$27:$C$31)</f>
        <v>0</v>
      </c>
      <c r="L74" s="15">
        <f>SUMPRODUCT((Assumptions!$D$48:$D$54&lt;=A74)*Assumptions!$F$48:$F$54)</f>
        <v>52710.833333333336</v>
      </c>
      <c r="M74" s="15">
        <f>IF(A74&lt;=Assumptions!$B$5,(I74+K74)*Assumptions!$B$10,0)</f>
        <v>0</v>
      </c>
      <c r="N74" s="15">
        <f t="shared" si="12"/>
        <v>76835.231748550344</v>
      </c>
      <c r="O74" s="15">
        <f t="shared" si="13"/>
        <v>30281.213917380126</v>
      </c>
      <c r="P74" s="15">
        <f t="shared" si="14"/>
        <v>790503.06386981148</v>
      </c>
    </row>
    <row r="75" spans="1:16" x14ac:dyDescent="0.3">
      <c r="A75" s="26">
        <v>72</v>
      </c>
      <c r="B75" s="5" t="str">
        <f t="shared" si="10"/>
        <v>Year 5</v>
      </c>
      <c r="C75" s="5">
        <f t="shared" si="11"/>
        <v>5</v>
      </c>
      <c r="D75" s="27">
        <f>IF(A75=Assumptions!$B$5,1,0)+IF(AND(A75&gt;Assumptions!$B$5,C75&gt;0),INDEX(Assumptions!$B$35:$B$39,C75),0)</f>
        <v>1.5</v>
      </c>
      <c r="E75" s="27">
        <f>E74*(1-Assumptions!$B$9)+D75</f>
        <v>43.703879592376609</v>
      </c>
      <c r="F75" s="15">
        <f>E75*Assumptions!$B$6</f>
        <v>109259.69898094152</v>
      </c>
      <c r="G75" s="15">
        <f>F75*Assumptions!$B$7</f>
        <v>10925.969898094154</v>
      </c>
      <c r="H75" s="15">
        <f>E75*Assumptions!$B$8</f>
        <v>6337.062540894608</v>
      </c>
      <c r="I75" s="15">
        <f>IF(A75&lt;=Assumptions!$B$5,Assumptions!$B$13+Assumptions!$B$14+Assumptions!$B$15+Assumptions!$B$16+IF(A75&gt;=Assumptions!$B$11,Assumptions!$B$17,0),SUM(Assumptions!$B$19:$B$24))</f>
        <v>5200</v>
      </c>
      <c r="J75" s="15">
        <f>IF(C75&gt;0,INDEX(Assumptions!$B$41:$B$45,C75),0)</f>
        <v>2000</v>
      </c>
      <c r="K75" s="15">
        <f>SUMIF(Assumptions!$B$27:$B$31,A75,Assumptions!$C$27:$C$31)</f>
        <v>0</v>
      </c>
      <c r="L75" s="15">
        <f>SUMPRODUCT((Assumptions!$D$48:$D$54&lt;=A75)*Assumptions!$F$48:$F$54)</f>
        <v>52710.833333333336</v>
      </c>
      <c r="M75" s="15">
        <f>IF(A75&lt;=Assumptions!$B$5,(I75+K75)*Assumptions!$B$10,0)</f>
        <v>0</v>
      </c>
      <c r="N75" s="15">
        <f t="shared" si="12"/>
        <v>77173.865772322097</v>
      </c>
      <c r="O75" s="15">
        <f t="shared" si="13"/>
        <v>32085.833208619428</v>
      </c>
      <c r="P75" s="15">
        <f t="shared" si="14"/>
        <v>822588.89707843086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6" width="13" customWidth="1"/>
  </cols>
  <sheetData>
    <row r="1" spans="1:16" ht="17.399999999999999" x14ac:dyDescent="0.3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1.95" customHeight="1" x14ac:dyDescent="0.3">
      <c r="A3" s="25" t="s">
        <v>71</v>
      </c>
      <c r="B3" s="25" t="s">
        <v>15</v>
      </c>
      <c r="C3" s="25" t="s">
        <v>116</v>
      </c>
      <c r="D3" s="25" t="s">
        <v>117</v>
      </c>
      <c r="E3" s="25" t="s">
        <v>118</v>
      </c>
      <c r="F3" s="25" t="s">
        <v>119</v>
      </c>
      <c r="G3" s="25" t="s">
        <v>120</v>
      </c>
      <c r="H3" s="25" t="s">
        <v>121</v>
      </c>
      <c r="I3" s="25" t="s">
        <v>122</v>
      </c>
      <c r="J3" s="25" t="s">
        <v>123</v>
      </c>
      <c r="K3" s="25" t="s">
        <v>124</v>
      </c>
      <c r="L3" s="25" t="s">
        <v>125</v>
      </c>
      <c r="M3" s="25" t="s">
        <v>126</v>
      </c>
      <c r="N3" s="25" t="s">
        <v>127</v>
      </c>
      <c r="O3" s="25" t="s">
        <v>128</v>
      </c>
      <c r="P3" s="25" t="s">
        <v>129</v>
      </c>
    </row>
    <row r="4" spans="1:16" x14ac:dyDescent="0.3">
      <c r="A4" s="26">
        <v>1</v>
      </c>
      <c r="B4" s="5" t="str">
        <f t="shared" ref="B4:B35" si="0">"Year "&amp;INT((A4-1)/12)</f>
        <v>Year 0</v>
      </c>
      <c r="C4" s="5">
        <f t="shared" ref="C4:C35" si="1">IF(A4&lt;=12,0,INT((A4-13)/12)+1)</f>
        <v>0</v>
      </c>
      <c r="D4" s="27">
        <f>IF(A4=Assumptions!$B$5,1,0)+IF(AND(A4&gt;Assumptions!$B$5,C4&gt;0),INDEX(Assumptions!$C$35:$C$39,C4),0)</f>
        <v>0</v>
      </c>
      <c r="E4" s="27">
        <f>0*(1-Assumptions!$B$9)+D4</f>
        <v>0</v>
      </c>
      <c r="F4" s="15">
        <f>E4*Assumptions!$B$6</f>
        <v>0</v>
      </c>
      <c r="G4" s="15">
        <f>F4*Assumptions!$B$7</f>
        <v>0</v>
      </c>
      <c r="H4" s="15">
        <f>E4*Assumptions!$B$8</f>
        <v>0</v>
      </c>
      <c r="I4" s="15">
        <f>IF(A4&lt;=Assumptions!$B$5,Assumptions!$B$13+Assumptions!$B$14+Assumptions!$B$15+Assumptions!$B$16+IF(A4&gt;=Assumptions!$B$11,Assumptions!$B$17,0),SUM(Assumptions!$B$19:$B$24))</f>
        <v>1600</v>
      </c>
      <c r="J4" s="15">
        <f>IF(C4&gt;0,INDEX(Assumptions!$C$41:$C$45,C4),0)</f>
        <v>0</v>
      </c>
      <c r="K4" s="15">
        <f>SUMIF(Assumptions!$B$27:$B$31,A4,Assumptions!$C$27:$C$31)</f>
        <v>400</v>
      </c>
      <c r="L4" s="15">
        <f>SUMPRODUCT((Assumptions!$E$48:$E$54&lt;=A4)*Assumptions!$F$48:$F$54)</f>
        <v>0</v>
      </c>
      <c r="M4" s="15">
        <f>IF(A4&lt;=Assumptions!$B$5,(I4+K4)*Assumptions!$B$10,0)</f>
        <v>200</v>
      </c>
      <c r="N4" s="15">
        <f t="shared" ref="N4:N35" si="2">SUM(G4:M4)</f>
        <v>2200</v>
      </c>
      <c r="O4" s="15">
        <f t="shared" ref="O4:O35" si="3">F4-N4</f>
        <v>-2200</v>
      </c>
      <c r="P4" s="15">
        <f>0+O4</f>
        <v>-2200</v>
      </c>
    </row>
    <row r="5" spans="1:16" x14ac:dyDescent="0.3">
      <c r="A5" s="26">
        <v>2</v>
      </c>
      <c r="B5" s="5" t="str">
        <f t="shared" si="0"/>
        <v>Year 0</v>
      </c>
      <c r="C5" s="5">
        <f t="shared" si="1"/>
        <v>0</v>
      </c>
      <c r="D5" s="27">
        <f>IF(A5=Assumptions!$B$5,1,0)+IF(AND(A5&gt;Assumptions!$B$5,C5&gt;0),INDEX(Assumptions!$C$35:$C$39,C5),0)</f>
        <v>0</v>
      </c>
      <c r="E5" s="27">
        <f>E4*(1-Assumptions!$B$9)+D5</f>
        <v>0</v>
      </c>
      <c r="F5" s="15">
        <f>E5*Assumptions!$B$6</f>
        <v>0</v>
      </c>
      <c r="G5" s="15">
        <f>F5*Assumptions!$B$7</f>
        <v>0</v>
      </c>
      <c r="H5" s="15">
        <f>E5*Assumptions!$B$8</f>
        <v>0</v>
      </c>
      <c r="I5" s="15">
        <f>IF(A5&lt;=Assumptions!$B$5,Assumptions!$B$13+Assumptions!$B$14+Assumptions!$B$15+Assumptions!$B$16+IF(A5&gt;=Assumptions!$B$11,Assumptions!$B$17,0),SUM(Assumptions!$B$19:$B$24))</f>
        <v>1600</v>
      </c>
      <c r="J5" s="15">
        <f>IF(C5&gt;0,INDEX(Assumptions!$C$41:$C$45,C5),0)</f>
        <v>0</v>
      </c>
      <c r="K5" s="15">
        <f>SUMIF(Assumptions!$B$27:$B$31,A5,Assumptions!$C$27:$C$31)</f>
        <v>0</v>
      </c>
      <c r="L5" s="15">
        <f>SUMPRODUCT((Assumptions!$E$48:$E$54&lt;=A5)*Assumptions!$F$48:$F$54)</f>
        <v>0</v>
      </c>
      <c r="M5" s="15">
        <f>IF(A5&lt;=Assumptions!$B$5,(I5+K5)*Assumptions!$B$10,0)</f>
        <v>160</v>
      </c>
      <c r="N5" s="15">
        <f t="shared" si="2"/>
        <v>1760</v>
      </c>
      <c r="O5" s="15">
        <f t="shared" si="3"/>
        <v>-1760</v>
      </c>
      <c r="P5" s="15">
        <f t="shared" ref="P5:P36" si="4">P4+O5</f>
        <v>-3960</v>
      </c>
    </row>
    <row r="6" spans="1:16" x14ac:dyDescent="0.3">
      <c r="A6" s="26">
        <v>3</v>
      </c>
      <c r="B6" s="5" t="str">
        <f t="shared" si="0"/>
        <v>Year 0</v>
      </c>
      <c r="C6" s="5">
        <f t="shared" si="1"/>
        <v>0</v>
      </c>
      <c r="D6" s="27">
        <f>IF(A6=Assumptions!$B$5,1,0)+IF(AND(A6&gt;Assumptions!$B$5,C6&gt;0),INDEX(Assumptions!$C$35:$C$39,C6),0)</f>
        <v>0</v>
      </c>
      <c r="E6" s="27">
        <f>E5*(1-Assumptions!$B$9)+D6</f>
        <v>0</v>
      </c>
      <c r="F6" s="15">
        <f>E6*Assumptions!$B$6</f>
        <v>0</v>
      </c>
      <c r="G6" s="15">
        <f>F6*Assumptions!$B$7</f>
        <v>0</v>
      </c>
      <c r="H6" s="15">
        <f>E6*Assumptions!$B$8</f>
        <v>0</v>
      </c>
      <c r="I6" s="15">
        <f>IF(A6&lt;=Assumptions!$B$5,Assumptions!$B$13+Assumptions!$B$14+Assumptions!$B$15+Assumptions!$B$16+IF(A6&gt;=Assumptions!$B$11,Assumptions!$B$17,0),SUM(Assumptions!$B$19:$B$24))</f>
        <v>1600</v>
      </c>
      <c r="J6" s="15">
        <f>IF(C6&gt;0,INDEX(Assumptions!$C$41:$C$45,C6),0)</f>
        <v>0</v>
      </c>
      <c r="K6" s="15">
        <f>SUMIF(Assumptions!$B$27:$B$31,A6,Assumptions!$C$27:$C$31)</f>
        <v>10000</v>
      </c>
      <c r="L6" s="15">
        <f>SUMPRODUCT((Assumptions!$E$48:$E$54&lt;=A6)*Assumptions!$F$48:$F$54)</f>
        <v>0</v>
      </c>
      <c r="M6" s="15">
        <f>IF(A6&lt;=Assumptions!$B$5,(I6+K6)*Assumptions!$B$10,0)</f>
        <v>1160</v>
      </c>
      <c r="N6" s="15">
        <f t="shared" si="2"/>
        <v>12760</v>
      </c>
      <c r="O6" s="15">
        <f t="shared" si="3"/>
        <v>-12760</v>
      </c>
      <c r="P6" s="15">
        <f t="shared" si="4"/>
        <v>-16720</v>
      </c>
    </row>
    <row r="7" spans="1:16" x14ac:dyDescent="0.3">
      <c r="A7" s="26">
        <v>4</v>
      </c>
      <c r="B7" s="5" t="str">
        <f t="shared" si="0"/>
        <v>Year 0</v>
      </c>
      <c r="C7" s="5">
        <f t="shared" si="1"/>
        <v>0</v>
      </c>
      <c r="D7" s="27">
        <f>IF(A7=Assumptions!$B$5,1,0)+IF(AND(A7&gt;Assumptions!$B$5,C7&gt;0),INDEX(Assumptions!$C$35:$C$39,C7),0)</f>
        <v>0</v>
      </c>
      <c r="E7" s="27">
        <f>E6*(1-Assumptions!$B$9)+D7</f>
        <v>0</v>
      </c>
      <c r="F7" s="15">
        <f>E7*Assumptions!$B$6</f>
        <v>0</v>
      </c>
      <c r="G7" s="15">
        <f>F7*Assumptions!$B$7</f>
        <v>0</v>
      </c>
      <c r="H7" s="15">
        <f>E7*Assumptions!$B$8</f>
        <v>0</v>
      </c>
      <c r="I7" s="15">
        <f>IF(A7&lt;=Assumptions!$B$5,Assumptions!$B$13+Assumptions!$B$14+Assumptions!$B$15+Assumptions!$B$16+IF(A7&gt;=Assumptions!$B$11,Assumptions!$B$17,0),SUM(Assumptions!$B$19:$B$24))</f>
        <v>1600</v>
      </c>
      <c r="J7" s="15">
        <f>IF(C7&gt;0,INDEX(Assumptions!$C$41:$C$45,C7),0)</f>
        <v>0</v>
      </c>
      <c r="K7" s="15">
        <f>SUMIF(Assumptions!$B$27:$B$31,A7,Assumptions!$C$27:$C$31)</f>
        <v>0</v>
      </c>
      <c r="L7" s="15">
        <f>SUMPRODUCT((Assumptions!$E$48:$E$54&lt;=A7)*Assumptions!$F$48:$F$54)</f>
        <v>0</v>
      </c>
      <c r="M7" s="15">
        <f>IF(A7&lt;=Assumptions!$B$5,(I7+K7)*Assumptions!$B$10,0)</f>
        <v>160</v>
      </c>
      <c r="N7" s="15">
        <f t="shared" si="2"/>
        <v>1760</v>
      </c>
      <c r="O7" s="15">
        <f t="shared" si="3"/>
        <v>-1760</v>
      </c>
      <c r="P7" s="15">
        <f t="shared" si="4"/>
        <v>-18480</v>
      </c>
    </row>
    <row r="8" spans="1:16" x14ac:dyDescent="0.3">
      <c r="A8" s="26">
        <v>5</v>
      </c>
      <c r="B8" s="5" t="str">
        <f t="shared" si="0"/>
        <v>Year 0</v>
      </c>
      <c r="C8" s="5">
        <f t="shared" si="1"/>
        <v>0</v>
      </c>
      <c r="D8" s="27">
        <f>IF(A8=Assumptions!$B$5,1,0)+IF(AND(A8&gt;Assumptions!$B$5,C8&gt;0),INDEX(Assumptions!$C$35:$C$39,C8),0)</f>
        <v>0</v>
      </c>
      <c r="E8" s="27">
        <f>E7*(1-Assumptions!$B$9)+D8</f>
        <v>0</v>
      </c>
      <c r="F8" s="15">
        <f>E8*Assumptions!$B$6</f>
        <v>0</v>
      </c>
      <c r="G8" s="15">
        <f>F8*Assumptions!$B$7</f>
        <v>0</v>
      </c>
      <c r="H8" s="15">
        <f>E8*Assumptions!$B$8</f>
        <v>0</v>
      </c>
      <c r="I8" s="15">
        <f>IF(A8&lt;=Assumptions!$B$5,Assumptions!$B$13+Assumptions!$B$14+Assumptions!$B$15+Assumptions!$B$16+IF(A8&gt;=Assumptions!$B$11,Assumptions!$B$17,0),SUM(Assumptions!$B$19:$B$24))</f>
        <v>1600</v>
      </c>
      <c r="J8" s="15">
        <f>IF(C8&gt;0,INDEX(Assumptions!$C$41:$C$45,C8),0)</f>
        <v>0</v>
      </c>
      <c r="K8" s="15">
        <f>SUMIF(Assumptions!$B$27:$B$31,A8,Assumptions!$C$27:$C$31)</f>
        <v>0</v>
      </c>
      <c r="L8" s="15">
        <f>SUMPRODUCT((Assumptions!$E$48:$E$54&lt;=A8)*Assumptions!$F$48:$F$54)</f>
        <v>0</v>
      </c>
      <c r="M8" s="15">
        <f>IF(A8&lt;=Assumptions!$B$5,(I8+K8)*Assumptions!$B$10,0)</f>
        <v>160</v>
      </c>
      <c r="N8" s="15">
        <f t="shared" si="2"/>
        <v>1760</v>
      </c>
      <c r="O8" s="15">
        <f t="shared" si="3"/>
        <v>-1760</v>
      </c>
      <c r="P8" s="15">
        <f t="shared" si="4"/>
        <v>-20240</v>
      </c>
    </row>
    <row r="9" spans="1:16" x14ac:dyDescent="0.3">
      <c r="A9" s="26">
        <v>6</v>
      </c>
      <c r="B9" s="5" t="str">
        <f t="shared" si="0"/>
        <v>Year 0</v>
      </c>
      <c r="C9" s="5">
        <f t="shared" si="1"/>
        <v>0</v>
      </c>
      <c r="D9" s="27">
        <f>IF(A9=Assumptions!$B$5,1,0)+IF(AND(A9&gt;Assumptions!$B$5,C9&gt;0),INDEX(Assumptions!$C$35:$C$39,C9),0)</f>
        <v>0</v>
      </c>
      <c r="E9" s="27">
        <f>E8*(1-Assumptions!$B$9)+D9</f>
        <v>0</v>
      </c>
      <c r="F9" s="15">
        <f>E9*Assumptions!$B$6</f>
        <v>0</v>
      </c>
      <c r="G9" s="15">
        <f>F9*Assumptions!$B$7</f>
        <v>0</v>
      </c>
      <c r="H9" s="15">
        <f>E9*Assumptions!$B$8</f>
        <v>0</v>
      </c>
      <c r="I9" s="15">
        <f>IF(A9&lt;=Assumptions!$B$5,Assumptions!$B$13+Assumptions!$B$14+Assumptions!$B$15+Assumptions!$B$16+IF(A9&gt;=Assumptions!$B$11,Assumptions!$B$17,0),SUM(Assumptions!$B$19:$B$24))</f>
        <v>1600</v>
      </c>
      <c r="J9" s="15">
        <f>IF(C9&gt;0,INDEX(Assumptions!$C$41:$C$45,C9),0)</f>
        <v>0</v>
      </c>
      <c r="K9" s="15">
        <f>SUMIF(Assumptions!$B$27:$B$31,A9,Assumptions!$C$27:$C$31)</f>
        <v>0</v>
      </c>
      <c r="L9" s="15">
        <f>SUMPRODUCT((Assumptions!$E$48:$E$54&lt;=A9)*Assumptions!$F$48:$F$54)</f>
        <v>0</v>
      </c>
      <c r="M9" s="15">
        <f>IF(A9&lt;=Assumptions!$B$5,(I9+K9)*Assumptions!$B$10,0)</f>
        <v>160</v>
      </c>
      <c r="N9" s="15">
        <f t="shared" si="2"/>
        <v>1760</v>
      </c>
      <c r="O9" s="15">
        <f t="shared" si="3"/>
        <v>-1760</v>
      </c>
      <c r="P9" s="15">
        <f t="shared" si="4"/>
        <v>-22000</v>
      </c>
    </row>
    <row r="10" spans="1:16" x14ac:dyDescent="0.3">
      <c r="A10" s="26">
        <v>7</v>
      </c>
      <c r="B10" s="5" t="str">
        <f t="shared" si="0"/>
        <v>Year 0</v>
      </c>
      <c r="C10" s="5">
        <f t="shared" si="1"/>
        <v>0</v>
      </c>
      <c r="D10" s="27">
        <f>IF(A10=Assumptions!$B$5,1,0)+IF(AND(A10&gt;Assumptions!$B$5,C10&gt;0),INDEX(Assumptions!$C$35:$C$39,C10),0)</f>
        <v>0</v>
      </c>
      <c r="E10" s="27">
        <f>E9*(1-Assumptions!$B$9)+D10</f>
        <v>0</v>
      </c>
      <c r="F10" s="15">
        <f>E10*Assumptions!$B$6</f>
        <v>0</v>
      </c>
      <c r="G10" s="15">
        <f>F10*Assumptions!$B$7</f>
        <v>0</v>
      </c>
      <c r="H10" s="15">
        <f>E10*Assumptions!$B$8</f>
        <v>0</v>
      </c>
      <c r="I10" s="15">
        <f>IF(A10&lt;=Assumptions!$B$5,Assumptions!$B$13+Assumptions!$B$14+Assumptions!$B$15+Assumptions!$B$16+IF(A10&gt;=Assumptions!$B$11,Assumptions!$B$17,0),SUM(Assumptions!$B$19:$B$24))</f>
        <v>1600</v>
      </c>
      <c r="J10" s="15">
        <f>IF(C10&gt;0,INDEX(Assumptions!$C$41:$C$45,C10),0)</f>
        <v>0</v>
      </c>
      <c r="K10" s="15">
        <f>SUMIF(Assumptions!$B$27:$B$31,A10,Assumptions!$C$27:$C$31)</f>
        <v>0</v>
      </c>
      <c r="L10" s="15">
        <f>SUMPRODUCT((Assumptions!$E$48:$E$54&lt;=A10)*Assumptions!$F$48:$F$54)</f>
        <v>0</v>
      </c>
      <c r="M10" s="15">
        <f>IF(A10&lt;=Assumptions!$B$5,(I10+K10)*Assumptions!$B$10,0)</f>
        <v>160</v>
      </c>
      <c r="N10" s="15">
        <f t="shared" si="2"/>
        <v>1760</v>
      </c>
      <c r="O10" s="15">
        <f t="shared" si="3"/>
        <v>-1760</v>
      </c>
      <c r="P10" s="15">
        <f t="shared" si="4"/>
        <v>-23760</v>
      </c>
    </row>
    <row r="11" spans="1:16" x14ac:dyDescent="0.3">
      <c r="A11" s="26">
        <v>8</v>
      </c>
      <c r="B11" s="5" t="str">
        <f t="shared" si="0"/>
        <v>Year 0</v>
      </c>
      <c r="C11" s="5">
        <f t="shared" si="1"/>
        <v>0</v>
      </c>
      <c r="D11" s="27">
        <f>IF(A11=Assumptions!$B$5,1,0)+IF(AND(A11&gt;Assumptions!$B$5,C11&gt;0),INDEX(Assumptions!$C$35:$C$39,C11),0)</f>
        <v>0</v>
      </c>
      <c r="E11" s="27">
        <f>E10*(1-Assumptions!$B$9)+D11</f>
        <v>0</v>
      </c>
      <c r="F11" s="15">
        <f>E11*Assumptions!$B$6</f>
        <v>0</v>
      </c>
      <c r="G11" s="15">
        <f>F11*Assumptions!$B$7</f>
        <v>0</v>
      </c>
      <c r="H11" s="15">
        <f>E11*Assumptions!$B$8</f>
        <v>0</v>
      </c>
      <c r="I11" s="15">
        <f>IF(A11&lt;=Assumptions!$B$5,Assumptions!$B$13+Assumptions!$B$14+Assumptions!$B$15+Assumptions!$B$16+IF(A11&gt;=Assumptions!$B$11,Assumptions!$B$17,0),SUM(Assumptions!$B$19:$B$24))</f>
        <v>1600</v>
      </c>
      <c r="J11" s="15">
        <f>IF(C11&gt;0,INDEX(Assumptions!$C$41:$C$45,C11),0)</f>
        <v>0</v>
      </c>
      <c r="K11" s="15">
        <f>SUMIF(Assumptions!$B$27:$B$31,A11,Assumptions!$C$27:$C$31)</f>
        <v>0</v>
      </c>
      <c r="L11" s="15">
        <f>SUMPRODUCT((Assumptions!$E$48:$E$54&lt;=A11)*Assumptions!$F$48:$F$54)</f>
        <v>0</v>
      </c>
      <c r="M11" s="15">
        <f>IF(A11&lt;=Assumptions!$B$5,(I11+K11)*Assumptions!$B$10,0)</f>
        <v>160</v>
      </c>
      <c r="N11" s="15">
        <f t="shared" si="2"/>
        <v>1760</v>
      </c>
      <c r="O11" s="15">
        <f t="shared" si="3"/>
        <v>-1760</v>
      </c>
      <c r="P11" s="15">
        <f t="shared" si="4"/>
        <v>-25520</v>
      </c>
    </row>
    <row r="12" spans="1:16" x14ac:dyDescent="0.3">
      <c r="A12" s="26">
        <v>9</v>
      </c>
      <c r="B12" s="5" t="str">
        <f t="shared" si="0"/>
        <v>Year 0</v>
      </c>
      <c r="C12" s="5">
        <f t="shared" si="1"/>
        <v>0</v>
      </c>
      <c r="D12" s="27">
        <f>IF(A12=Assumptions!$B$5,1,0)+IF(AND(A12&gt;Assumptions!$B$5,C12&gt;0),INDEX(Assumptions!$C$35:$C$39,C12),0)</f>
        <v>0</v>
      </c>
      <c r="E12" s="27">
        <f>E11*(1-Assumptions!$B$9)+D12</f>
        <v>0</v>
      </c>
      <c r="F12" s="15">
        <f>E12*Assumptions!$B$6</f>
        <v>0</v>
      </c>
      <c r="G12" s="15">
        <f>F12*Assumptions!$B$7</f>
        <v>0</v>
      </c>
      <c r="H12" s="15">
        <f>E12*Assumptions!$B$8</f>
        <v>0</v>
      </c>
      <c r="I12" s="15">
        <f>IF(A12&lt;=Assumptions!$B$5,Assumptions!$B$13+Assumptions!$B$14+Assumptions!$B$15+Assumptions!$B$16+IF(A12&gt;=Assumptions!$B$11,Assumptions!$B$17,0),SUM(Assumptions!$B$19:$B$24))</f>
        <v>2500</v>
      </c>
      <c r="J12" s="15">
        <f>IF(C12&gt;0,INDEX(Assumptions!$C$41:$C$45,C12),0)</f>
        <v>0</v>
      </c>
      <c r="K12" s="15">
        <f>SUMIF(Assumptions!$B$27:$B$31,A12,Assumptions!$C$27:$C$31)</f>
        <v>11500</v>
      </c>
      <c r="L12" s="15">
        <f>SUMPRODUCT((Assumptions!$E$48:$E$54&lt;=A12)*Assumptions!$F$48:$F$54)</f>
        <v>0</v>
      </c>
      <c r="M12" s="15">
        <f>IF(A12&lt;=Assumptions!$B$5,(I12+K12)*Assumptions!$B$10,0)</f>
        <v>1400</v>
      </c>
      <c r="N12" s="15">
        <f t="shared" si="2"/>
        <v>15400</v>
      </c>
      <c r="O12" s="15">
        <f t="shared" si="3"/>
        <v>-15400</v>
      </c>
      <c r="P12" s="15">
        <f t="shared" si="4"/>
        <v>-40920</v>
      </c>
    </row>
    <row r="13" spans="1:16" x14ac:dyDescent="0.3">
      <c r="A13" s="26">
        <v>10</v>
      </c>
      <c r="B13" s="5" t="str">
        <f t="shared" si="0"/>
        <v>Year 0</v>
      </c>
      <c r="C13" s="5">
        <f t="shared" si="1"/>
        <v>0</v>
      </c>
      <c r="D13" s="27">
        <f>IF(A13=Assumptions!$B$5,1,0)+IF(AND(A13&gt;Assumptions!$B$5,C13&gt;0),INDEX(Assumptions!$C$35:$C$39,C13),0)</f>
        <v>0</v>
      </c>
      <c r="E13" s="27">
        <f>E12*(1-Assumptions!$B$9)+D13</f>
        <v>0</v>
      </c>
      <c r="F13" s="15">
        <f>E13*Assumptions!$B$6</f>
        <v>0</v>
      </c>
      <c r="G13" s="15">
        <f>F13*Assumptions!$B$7</f>
        <v>0</v>
      </c>
      <c r="H13" s="15">
        <f>E13*Assumptions!$B$8</f>
        <v>0</v>
      </c>
      <c r="I13" s="15">
        <f>IF(A13&lt;=Assumptions!$B$5,Assumptions!$B$13+Assumptions!$B$14+Assumptions!$B$15+Assumptions!$B$16+IF(A13&gt;=Assumptions!$B$11,Assumptions!$B$17,0),SUM(Assumptions!$B$19:$B$24))</f>
        <v>2500</v>
      </c>
      <c r="J13" s="15">
        <f>IF(C13&gt;0,INDEX(Assumptions!$C$41:$C$45,C13),0)</f>
        <v>0</v>
      </c>
      <c r="K13" s="15">
        <f>SUMIF(Assumptions!$B$27:$B$31,A13,Assumptions!$C$27:$C$31)</f>
        <v>7500</v>
      </c>
      <c r="L13" s="15">
        <f>SUMPRODUCT((Assumptions!$E$48:$E$54&lt;=A13)*Assumptions!$F$48:$F$54)</f>
        <v>0</v>
      </c>
      <c r="M13" s="15">
        <f>IF(A13&lt;=Assumptions!$B$5,(I13+K13)*Assumptions!$B$10,0)</f>
        <v>1000</v>
      </c>
      <c r="N13" s="15">
        <f t="shared" si="2"/>
        <v>11000</v>
      </c>
      <c r="O13" s="15">
        <f t="shared" si="3"/>
        <v>-11000</v>
      </c>
      <c r="P13" s="15">
        <f t="shared" si="4"/>
        <v>-51920</v>
      </c>
    </row>
    <row r="14" spans="1:16" x14ac:dyDescent="0.3">
      <c r="A14" s="26">
        <v>11</v>
      </c>
      <c r="B14" s="5" t="str">
        <f t="shared" si="0"/>
        <v>Year 0</v>
      </c>
      <c r="C14" s="5">
        <f t="shared" si="1"/>
        <v>0</v>
      </c>
      <c r="D14" s="27">
        <f>IF(A14=Assumptions!$B$5,1,0)+IF(AND(A14&gt;Assumptions!$B$5,C14&gt;0),INDEX(Assumptions!$C$35:$C$39,C14),0)</f>
        <v>0</v>
      </c>
      <c r="E14" s="27">
        <f>E13*(1-Assumptions!$B$9)+D14</f>
        <v>0</v>
      </c>
      <c r="F14" s="15">
        <f>E14*Assumptions!$B$6</f>
        <v>0</v>
      </c>
      <c r="G14" s="15">
        <f>F14*Assumptions!$B$7</f>
        <v>0</v>
      </c>
      <c r="H14" s="15">
        <f>E14*Assumptions!$B$8</f>
        <v>0</v>
      </c>
      <c r="I14" s="15">
        <f>IF(A14&lt;=Assumptions!$B$5,Assumptions!$B$13+Assumptions!$B$14+Assumptions!$B$15+Assumptions!$B$16+IF(A14&gt;=Assumptions!$B$11,Assumptions!$B$17,0),SUM(Assumptions!$B$19:$B$24))</f>
        <v>2500</v>
      </c>
      <c r="J14" s="15">
        <f>IF(C14&gt;0,INDEX(Assumptions!$C$41:$C$45,C14),0)</f>
        <v>0</v>
      </c>
      <c r="K14" s="15">
        <f>SUMIF(Assumptions!$B$27:$B$31,A14,Assumptions!$C$27:$C$31)</f>
        <v>0</v>
      </c>
      <c r="L14" s="15">
        <f>SUMPRODUCT((Assumptions!$E$48:$E$54&lt;=A14)*Assumptions!$F$48:$F$54)</f>
        <v>0</v>
      </c>
      <c r="M14" s="15">
        <f>IF(A14&lt;=Assumptions!$B$5,(I14+K14)*Assumptions!$B$10,0)</f>
        <v>250</v>
      </c>
      <c r="N14" s="15">
        <f t="shared" si="2"/>
        <v>2750</v>
      </c>
      <c r="O14" s="15">
        <f t="shared" si="3"/>
        <v>-2750</v>
      </c>
      <c r="P14" s="15">
        <f t="shared" si="4"/>
        <v>-54670</v>
      </c>
    </row>
    <row r="15" spans="1:16" x14ac:dyDescent="0.3">
      <c r="A15" s="26">
        <v>12</v>
      </c>
      <c r="B15" s="5" t="str">
        <f t="shared" si="0"/>
        <v>Year 0</v>
      </c>
      <c r="C15" s="5">
        <f t="shared" si="1"/>
        <v>0</v>
      </c>
      <c r="D15" s="27">
        <f>IF(A15=Assumptions!$B$5,1,0)+IF(AND(A15&gt;Assumptions!$B$5,C15&gt;0),INDEX(Assumptions!$C$35:$C$39,C15),0)</f>
        <v>1</v>
      </c>
      <c r="E15" s="27">
        <f>E14*(1-Assumptions!$B$9)+D15</f>
        <v>1</v>
      </c>
      <c r="F15" s="15">
        <f>E15*Assumptions!$B$6</f>
        <v>2500</v>
      </c>
      <c r="G15" s="15">
        <f>F15*Assumptions!$B$7</f>
        <v>250</v>
      </c>
      <c r="H15" s="15">
        <f>E15*Assumptions!$B$8</f>
        <v>145</v>
      </c>
      <c r="I15" s="15">
        <f>IF(A15&lt;=Assumptions!$B$5,Assumptions!$B$13+Assumptions!$B$14+Assumptions!$B$15+Assumptions!$B$16+IF(A15&gt;=Assumptions!$B$11,Assumptions!$B$17,0),SUM(Assumptions!$B$19:$B$24))</f>
        <v>2500</v>
      </c>
      <c r="J15" s="15">
        <f>IF(C15&gt;0,INDEX(Assumptions!$C$41:$C$45,C15),0)</f>
        <v>0</v>
      </c>
      <c r="K15" s="15">
        <f>SUMIF(Assumptions!$B$27:$B$31,A15,Assumptions!$C$27:$C$31)</f>
        <v>0</v>
      </c>
      <c r="L15" s="15">
        <f>SUMPRODUCT((Assumptions!$E$48:$E$54&lt;=A15)*Assumptions!$F$48:$F$54)</f>
        <v>0</v>
      </c>
      <c r="M15" s="15">
        <f>IF(A15&lt;=Assumptions!$B$5,(I15+K15)*Assumptions!$B$10,0)</f>
        <v>250</v>
      </c>
      <c r="N15" s="15">
        <f t="shared" si="2"/>
        <v>3145</v>
      </c>
      <c r="O15" s="15">
        <f t="shared" si="3"/>
        <v>-645</v>
      </c>
      <c r="P15" s="15">
        <f t="shared" si="4"/>
        <v>-55315</v>
      </c>
    </row>
    <row r="16" spans="1:16" x14ac:dyDescent="0.3">
      <c r="A16" s="26">
        <v>13</v>
      </c>
      <c r="B16" s="5" t="str">
        <f t="shared" si="0"/>
        <v>Year 1</v>
      </c>
      <c r="C16" s="5">
        <f t="shared" si="1"/>
        <v>1</v>
      </c>
      <c r="D16" s="27">
        <f>IF(A16=Assumptions!$B$5,1,0)+IF(AND(A16&gt;Assumptions!$B$5,C16&gt;0),INDEX(Assumptions!$C$35:$C$39,C16),0)</f>
        <v>0.25</v>
      </c>
      <c r="E16" s="27">
        <f>E15*(1-Assumptions!$B$9)+D16</f>
        <v>1.2349999999999999</v>
      </c>
      <c r="F16" s="15">
        <f>E16*Assumptions!$B$6</f>
        <v>3087.4999999999995</v>
      </c>
      <c r="G16" s="15">
        <f>F16*Assumptions!$B$7</f>
        <v>308.75</v>
      </c>
      <c r="H16" s="15">
        <f>E16*Assumptions!$B$8</f>
        <v>179.07499999999999</v>
      </c>
      <c r="I16" s="15">
        <f>IF(A16&lt;=Assumptions!$B$5,Assumptions!$B$13+Assumptions!$B$14+Assumptions!$B$15+Assumptions!$B$16+IF(A16&gt;=Assumptions!$B$11,Assumptions!$B$17,0),SUM(Assumptions!$B$19:$B$24))</f>
        <v>5200</v>
      </c>
      <c r="J16" s="15">
        <f>IF(C16&gt;0,INDEX(Assumptions!$C$41:$C$45,C16),0)</f>
        <v>0</v>
      </c>
      <c r="K16" s="15">
        <f>SUMIF(Assumptions!$B$27:$B$31,A16,Assumptions!$C$27:$C$31)</f>
        <v>0</v>
      </c>
      <c r="L16" s="15">
        <f>SUMPRODUCT((Assumptions!$E$48:$E$54&lt;=A16)*Assumptions!$F$48:$F$54)</f>
        <v>0</v>
      </c>
      <c r="M16" s="15">
        <f>IF(A16&lt;=Assumptions!$B$5,(I16+K16)*Assumptions!$B$10,0)</f>
        <v>0</v>
      </c>
      <c r="N16" s="15">
        <f t="shared" si="2"/>
        <v>5687.8249999999998</v>
      </c>
      <c r="O16" s="15">
        <f t="shared" si="3"/>
        <v>-2600.3250000000003</v>
      </c>
      <c r="P16" s="15">
        <f t="shared" si="4"/>
        <v>-57915.324999999997</v>
      </c>
    </row>
    <row r="17" spans="1:16" x14ac:dyDescent="0.3">
      <c r="A17" s="26">
        <v>14</v>
      </c>
      <c r="B17" s="5" t="str">
        <f t="shared" si="0"/>
        <v>Year 1</v>
      </c>
      <c r="C17" s="5">
        <f t="shared" si="1"/>
        <v>1</v>
      </c>
      <c r="D17" s="27">
        <f>IF(A17=Assumptions!$B$5,1,0)+IF(AND(A17&gt;Assumptions!$B$5,C17&gt;0),INDEX(Assumptions!$C$35:$C$39,C17),0)</f>
        <v>0.25</v>
      </c>
      <c r="E17" s="27">
        <f>E16*(1-Assumptions!$B$9)+D17</f>
        <v>1.4664749999999998</v>
      </c>
      <c r="F17" s="15">
        <f>E17*Assumptions!$B$6</f>
        <v>3666.1874999999995</v>
      </c>
      <c r="G17" s="15">
        <f>F17*Assumptions!$B$7</f>
        <v>366.61874999999998</v>
      </c>
      <c r="H17" s="15">
        <f>E17*Assumptions!$B$8</f>
        <v>212.63887499999996</v>
      </c>
      <c r="I17" s="15">
        <f>IF(A17&lt;=Assumptions!$B$5,Assumptions!$B$13+Assumptions!$B$14+Assumptions!$B$15+Assumptions!$B$16+IF(A17&gt;=Assumptions!$B$11,Assumptions!$B$17,0),SUM(Assumptions!$B$19:$B$24))</f>
        <v>5200</v>
      </c>
      <c r="J17" s="15">
        <f>IF(C17&gt;0,INDEX(Assumptions!$C$41:$C$45,C17),0)</f>
        <v>0</v>
      </c>
      <c r="K17" s="15">
        <f>SUMIF(Assumptions!$B$27:$B$31,A17,Assumptions!$C$27:$C$31)</f>
        <v>0</v>
      </c>
      <c r="L17" s="15">
        <f>SUMPRODUCT((Assumptions!$E$48:$E$54&lt;=A17)*Assumptions!$F$48:$F$54)</f>
        <v>0</v>
      </c>
      <c r="M17" s="15">
        <f>IF(A17&lt;=Assumptions!$B$5,(I17+K17)*Assumptions!$B$10,0)</f>
        <v>0</v>
      </c>
      <c r="N17" s="15">
        <f t="shared" si="2"/>
        <v>5779.2576250000002</v>
      </c>
      <c r="O17" s="15">
        <f t="shared" si="3"/>
        <v>-2113.0701250000006</v>
      </c>
      <c r="P17" s="15">
        <f t="shared" si="4"/>
        <v>-60028.395124999995</v>
      </c>
    </row>
    <row r="18" spans="1:16" x14ac:dyDescent="0.3">
      <c r="A18" s="26">
        <v>15</v>
      </c>
      <c r="B18" s="5" t="str">
        <f t="shared" si="0"/>
        <v>Year 1</v>
      </c>
      <c r="C18" s="5">
        <f t="shared" si="1"/>
        <v>1</v>
      </c>
      <c r="D18" s="27">
        <f>IF(A18=Assumptions!$B$5,1,0)+IF(AND(A18&gt;Assumptions!$B$5,C18&gt;0),INDEX(Assumptions!$C$35:$C$39,C18),0)</f>
        <v>0.25</v>
      </c>
      <c r="E18" s="27">
        <f>E17*(1-Assumptions!$B$9)+D18</f>
        <v>1.6944778749999998</v>
      </c>
      <c r="F18" s="15">
        <f>E18*Assumptions!$B$6</f>
        <v>4236.1946874999994</v>
      </c>
      <c r="G18" s="15">
        <f>F18*Assumptions!$B$7</f>
        <v>423.61946874999995</v>
      </c>
      <c r="H18" s="15">
        <f>E18*Assumptions!$B$8</f>
        <v>245.69929187499997</v>
      </c>
      <c r="I18" s="15">
        <f>IF(A18&lt;=Assumptions!$B$5,Assumptions!$B$13+Assumptions!$B$14+Assumptions!$B$15+Assumptions!$B$16+IF(A18&gt;=Assumptions!$B$11,Assumptions!$B$17,0),SUM(Assumptions!$B$19:$B$24))</f>
        <v>5200</v>
      </c>
      <c r="J18" s="15">
        <f>IF(C18&gt;0,INDEX(Assumptions!$C$41:$C$45,C18),0)</f>
        <v>0</v>
      </c>
      <c r="K18" s="15">
        <f>SUMIF(Assumptions!$B$27:$B$31,A18,Assumptions!$C$27:$C$31)</f>
        <v>0</v>
      </c>
      <c r="L18" s="15">
        <f>SUMPRODUCT((Assumptions!$E$48:$E$54&lt;=A18)*Assumptions!$F$48:$F$54)</f>
        <v>0</v>
      </c>
      <c r="M18" s="15">
        <f>IF(A18&lt;=Assumptions!$B$5,(I18+K18)*Assumptions!$B$10,0)</f>
        <v>0</v>
      </c>
      <c r="N18" s="15">
        <f t="shared" si="2"/>
        <v>5869.3187606249994</v>
      </c>
      <c r="O18" s="15">
        <f t="shared" si="3"/>
        <v>-1633.124073125</v>
      </c>
      <c r="P18" s="15">
        <f t="shared" si="4"/>
        <v>-61661.519198124995</v>
      </c>
    </row>
    <row r="19" spans="1:16" x14ac:dyDescent="0.3">
      <c r="A19" s="26">
        <v>16</v>
      </c>
      <c r="B19" s="5" t="str">
        <f t="shared" si="0"/>
        <v>Year 1</v>
      </c>
      <c r="C19" s="5">
        <f t="shared" si="1"/>
        <v>1</v>
      </c>
      <c r="D19" s="27">
        <f>IF(A19=Assumptions!$B$5,1,0)+IF(AND(A19&gt;Assumptions!$B$5,C19&gt;0),INDEX(Assumptions!$C$35:$C$39,C19),0)</f>
        <v>0.25</v>
      </c>
      <c r="E19" s="27">
        <f>E18*(1-Assumptions!$B$9)+D19</f>
        <v>1.9190607068749999</v>
      </c>
      <c r="F19" s="15">
        <f>E19*Assumptions!$B$6</f>
        <v>4797.6517671874999</v>
      </c>
      <c r="G19" s="15">
        <f>F19*Assumptions!$B$7</f>
        <v>479.76517671875001</v>
      </c>
      <c r="H19" s="15">
        <f>E19*Assumptions!$B$8</f>
        <v>278.26380249687497</v>
      </c>
      <c r="I19" s="15">
        <f>IF(A19&lt;=Assumptions!$B$5,Assumptions!$B$13+Assumptions!$B$14+Assumptions!$B$15+Assumptions!$B$16+IF(A19&gt;=Assumptions!$B$11,Assumptions!$B$17,0),SUM(Assumptions!$B$19:$B$24))</f>
        <v>5200</v>
      </c>
      <c r="J19" s="15">
        <f>IF(C19&gt;0,INDEX(Assumptions!$C$41:$C$45,C19),0)</f>
        <v>0</v>
      </c>
      <c r="K19" s="15">
        <f>SUMIF(Assumptions!$B$27:$B$31,A19,Assumptions!$C$27:$C$31)</f>
        <v>0</v>
      </c>
      <c r="L19" s="15">
        <f>SUMPRODUCT((Assumptions!$E$48:$E$54&lt;=A19)*Assumptions!$F$48:$F$54)</f>
        <v>0</v>
      </c>
      <c r="M19" s="15">
        <f>IF(A19&lt;=Assumptions!$B$5,(I19+K19)*Assumptions!$B$10,0)</f>
        <v>0</v>
      </c>
      <c r="N19" s="15">
        <f t="shared" si="2"/>
        <v>5958.0289792156254</v>
      </c>
      <c r="O19" s="15">
        <f t="shared" si="3"/>
        <v>-1160.3772120281255</v>
      </c>
      <c r="P19" s="15">
        <f t="shared" si="4"/>
        <v>-62821.896410153124</v>
      </c>
    </row>
    <row r="20" spans="1:16" x14ac:dyDescent="0.3">
      <c r="A20" s="26">
        <v>17</v>
      </c>
      <c r="B20" s="5" t="str">
        <f t="shared" si="0"/>
        <v>Year 1</v>
      </c>
      <c r="C20" s="5">
        <f t="shared" si="1"/>
        <v>1</v>
      </c>
      <c r="D20" s="27">
        <f>IF(A20=Assumptions!$B$5,1,0)+IF(AND(A20&gt;Assumptions!$B$5,C20&gt;0),INDEX(Assumptions!$C$35:$C$39,C20),0)</f>
        <v>0.25</v>
      </c>
      <c r="E20" s="27">
        <f>E19*(1-Assumptions!$B$9)+D20</f>
        <v>2.1402747962718749</v>
      </c>
      <c r="F20" s="15">
        <f>E20*Assumptions!$B$6</f>
        <v>5350.6869906796874</v>
      </c>
      <c r="G20" s="15">
        <f>F20*Assumptions!$B$7</f>
        <v>535.06869906796874</v>
      </c>
      <c r="H20" s="15">
        <f>E20*Assumptions!$B$8</f>
        <v>310.33984545942184</v>
      </c>
      <c r="I20" s="15">
        <f>IF(A20&lt;=Assumptions!$B$5,Assumptions!$B$13+Assumptions!$B$14+Assumptions!$B$15+Assumptions!$B$16+IF(A20&gt;=Assumptions!$B$11,Assumptions!$B$17,0),SUM(Assumptions!$B$19:$B$24))</f>
        <v>5200</v>
      </c>
      <c r="J20" s="15">
        <f>IF(C20&gt;0,INDEX(Assumptions!$C$41:$C$45,C20),0)</f>
        <v>0</v>
      </c>
      <c r="K20" s="15">
        <f>SUMIF(Assumptions!$B$27:$B$31,A20,Assumptions!$C$27:$C$31)</f>
        <v>0</v>
      </c>
      <c r="L20" s="15">
        <f>SUMPRODUCT((Assumptions!$E$48:$E$54&lt;=A20)*Assumptions!$F$48:$F$54)</f>
        <v>0</v>
      </c>
      <c r="M20" s="15">
        <f>IF(A20&lt;=Assumptions!$B$5,(I20+K20)*Assumptions!$B$10,0)</f>
        <v>0</v>
      </c>
      <c r="N20" s="15">
        <f t="shared" si="2"/>
        <v>6045.4085445273904</v>
      </c>
      <c r="O20" s="15">
        <f t="shared" si="3"/>
        <v>-694.72155384770303</v>
      </c>
      <c r="P20" s="15">
        <f t="shared" si="4"/>
        <v>-63516.617964000827</v>
      </c>
    </row>
    <row r="21" spans="1:16" x14ac:dyDescent="0.3">
      <c r="A21" s="26">
        <v>18</v>
      </c>
      <c r="B21" s="5" t="str">
        <f t="shared" si="0"/>
        <v>Year 1</v>
      </c>
      <c r="C21" s="5">
        <f t="shared" si="1"/>
        <v>1</v>
      </c>
      <c r="D21" s="27">
        <f>IF(A21=Assumptions!$B$5,1,0)+IF(AND(A21&gt;Assumptions!$B$5,C21&gt;0),INDEX(Assumptions!$C$35:$C$39,C21),0)</f>
        <v>0.25</v>
      </c>
      <c r="E21" s="27">
        <f>E20*(1-Assumptions!$B$9)+D21</f>
        <v>2.3581706743277966</v>
      </c>
      <c r="F21" s="15">
        <f>E21*Assumptions!$B$6</f>
        <v>5895.4266858194915</v>
      </c>
      <c r="G21" s="15">
        <f>F21*Assumptions!$B$7</f>
        <v>589.54266858194921</v>
      </c>
      <c r="H21" s="15">
        <f>E21*Assumptions!$B$8</f>
        <v>341.9347477775305</v>
      </c>
      <c r="I21" s="15">
        <f>IF(A21&lt;=Assumptions!$B$5,Assumptions!$B$13+Assumptions!$B$14+Assumptions!$B$15+Assumptions!$B$16+IF(A21&gt;=Assumptions!$B$11,Assumptions!$B$17,0),SUM(Assumptions!$B$19:$B$24))</f>
        <v>5200</v>
      </c>
      <c r="J21" s="15">
        <f>IF(C21&gt;0,INDEX(Assumptions!$C$41:$C$45,C21),0)</f>
        <v>0</v>
      </c>
      <c r="K21" s="15">
        <f>SUMIF(Assumptions!$B$27:$B$31,A21,Assumptions!$C$27:$C$31)</f>
        <v>0</v>
      </c>
      <c r="L21" s="15">
        <f>SUMPRODUCT((Assumptions!$E$48:$E$54&lt;=A21)*Assumptions!$F$48:$F$54)</f>
        <v>0</v>
      </c>
      <c r="M21" s="15">
        <f>IF(A21&lt;=Assumptions!$B$5,(I21+K21)*Assumptions!$B$10,0)</f>
        <v>0</v>
      </c>
      <c r="N21" s="15">
        <f t="shared" si="2"/>
        <v>6131.4774163594793</v>
      </c>
      <c r="O21" s="15">
        <f t="shared" si="3"/>
        <v>-236.05073053998785</v>
      </c>
      <c r="P21" s="15">
        <f t="shared" si="4"/>
        <v>-63752.668694540815</v>
      </c>
    </row>
    <row r="22" spans="1:16" x14ac:dyDescent="0.3">
      <c r="A22" s="26">
        <v>19</v>
      </c>
      <c r="B22" s="5" t="str">
        <f t="shared" si="0"/>
        <v>Year 1</v>
      </c>
      <c r="C22" s="5">
        <f t="shared" si="1"/>
        <v>1</v>
      </c>
      <c r="D22" s="27">
        <f>IF(A22=Assumptions!$B$5,1,0)+IF(AND(A22&gt;Assumptions!$B$5,C22&gt;0),INDEX(Assumptions!$C$35:$C$39,C22),0)</f>
        <v>0.25</v>
      </c>
      <c r="E22" s="27">
        <f>E21*(1-Assumptions!$B$9)+D22</f>
        <v>2.5727981142128797</v>
      </c>
      <c r="F22" s="15">
        <f>E22*Assumptions!$B$6</f>
        <v>6431.995285532199</v>
      </c>
      <c r="G22" s="15">
        <f>F22*Assumptions!$B$7</f>
        <v>643.19952855321992</v>
      </c>
      <c r="H22" s="15">
        <f>E22*Assumptions!$B$8</f>
        <v>373.05572656086758</v>
      </c>
      <c r="I22" s="15">
        <f>IF(A22&lt;=Assumptions!$B$5,Assumptions!$B$13+Assumptions!$B$14+Assumptions!$B$15+Assumptions!$B$16+IF(A22&gt;=Assumptions!$B$11,Assumptions!$B$17,0),SUM(Assumptions!$B$19:$B$24))</f>
        <v>5200</v>
      </c>
      <c r="J22" s="15">
        <f>IF(C22&gt;0,INDEX(Assumptions!$C$41:$C$45,C22),0)</f>
        <v>0</v>
      </c>
      <c r="K22" s="15">
        <f>SUMIF(Assumptions!$B$27:$B$31,A22,Assumptions!$C$27:$C$31)</f>
        <v>0</v>
      </c>
      <c r="L22" s="15">
        <f>SUMPRODUCT((Assumptions!$E$48:$E$54&lt;=A22)*Assumptions!$F$48:$F$54)</f>
        <v>0</v>
      </c>
      <c r="M22" s="15">
        <f>IF(A22&lt;=Assumptions!$B$5,(I22+K22)*Assumptions!$B$10,0)</f>
        <v>0</v>
      </c>
      <c r="N22" s="15">
        <f t="shared" si="2"/>
        <v>6216.255255114087</v>
      </c>
      <c r="O22" s="15">
        <f t="shared" si="3"/>
        <v>215.74003041811193</v>
      </c>
      <c r="P22" s="15">
        <f t="shared" si="4"/>
        <v>-63536.928664122701</v>
      </c>
    </row>
    <row r="23" spans="1:16" x14ac:dyDescent="0.3">
      <c r="A23" s="26">
        <v>20</v>
      </c>
      <c r="B23" s="5" t="str">
        <f t="shared" si="0"/>
        <v>Year 1</v>
      </c>
      <c r="C23" s="5">
        <f t="shared" si="1"/>
        <v>1</v>
      </c>
      <c r="D23" s="27">
        <f>IF(A23=Assumptions!$B$5,1,0)+IF(AND(A23&gt;Assumptions!$B$5,C23&gt;0),INDEX(Assumptions!$C$35:$C$39,C23),0)</f>
        <v>0.25</v>
      </c>
      <c r="E23" s="27">
        <f>E22*(1-Assumptions!$B$9)+D23</f>
        <v>2.7842061424996865</v>
      </c>
      <c r="F23" s="15">
        <f>E23*Assumptions!$B$6</f>
        <v>6960.515356249216</v>
      </c>
      <c r="G23" s="15">
        <f>F23*Assumptions!$B$7</f>
        <v>696.0515356249216</v>
      </c>
      <c r="H23" s="15">
        <f>E23*Assumptions!$B$8</f>
        <v>403.70989066245454</v>
      </c>
      <c r="I23" s="15">
        <f>IF(A23&lt;=Assumptions!$B$5,Assumptions!$B$13+Assumptions!$B$14+Assumptions!$B$15+Assumptions!$B$16+IF(A23&gt;=Assumptions!$B$11,Assumptions!$B$17,0),SUM(Assumptions!$B$19:$B$24))</f>
        <v>5200</v>
      </c>
      <c r="J23" s="15">
        <f>IF(C23&gt;0,INDEX(Assumptions!$C$41:$C$45,C23),0)</f>
        <v>0</v>
      </c>
      <c r="K23" s="15">
        <f>SUMIF(Assumptions!$B$27:$B$31,A23,Assumptions!$C$27:$C$31)</f>
        <v>0</v>
      </c>
      <c r="L23" s="15">
        <f>SUMPRODUCT((Assumptions!$E$48:$E$54&lt;=A23)*Assumptions!$F$48:$F$54)</f>
        <v>0</v>
      </c>
      <c r="M23" s="15">
        <f>IF(A23&lt;=Assumptions!$B$5,(I23+K23)*Assumptions!$B$10,0)</f>
        <v>0</v>
      </c>
      <c r="N23" s="15">
        <f t="shared" si="2"/>
        <v>6299.7614262873758</v>
      </c>
      <c r="O23" s="15">
        <f t="shared" si="3"/>
        <v>660.75392996184019</v>
      </c>
      <c r="P23" s="15">
        <f t="shared" si="4"/>
        <v>-62876.174734160857</v>
      </c>
    </row>
    <row r="24" spans="1:16" x14ac:dyDescent="0.3">
      <c r="A24" s="26">
        <v>21</v>
      </c>
      <c r="B24" s="5" t="str">
        <f t="shared" si="0"/>
        <v>Year 1</v>
      </c>
      <c r="C24" s="5">
        <f t="shared" si="1"/>
        <v>1</v>
      </c>
      <c r="D24" s="27">
        <f>IF(A24=Assumptions!$B$5,1,0)+IF(AND(A24&gt;Assumptions!$B$5,C24&gt;0),INDEX(Assumptions!$C$35:$C$39,C24),0)</f>
        <v>0.25</v>
      </c>
      <c r="E24" s="27">
        <f>E23*(1-Assumptions!$B$9)+D24</f>
        <v>2.992443050362191</v>
      </c>
      <c r="F24" s="15">
        <f>E24*Assumptions!$B$6</f>
        <v>7481.107625905478</v>
      </c>
      <c r="G24" s="15">
        <f>F24*Assumptions!$B$7</f>
        <v>748.11076259054789</v>
      </c>
      <c r="H24" s="15">
        <f>E24*Assumptions!$B$8</f>
        <v>433.90424230251773</v>
      </c>
      <c r="I24" s="15">
        <f>IF(A24&lt;=Assumptions!$B$5,Assumptions!$B$13+Assumptions!$B$14+Assumptions!$B$15+Assumptions!$B$16+IF(A24&gt;=Assumptions!$B$11,Assumptions!$B$17,0),SUM(Assumptions!$B$19:$B$24))</f>
        <v>5200</v>
      </c>
      <c r="J24" s="15">
        <f>IF(C24&gt;0,INDEX(Assumptions!$C$41:$C$45,C24),0)</f>
        <v>0</v>
      </c>
      <c r="K24" s="15">
        <f>SUMIF(Assumptions!$B$27:$B$31,A24,Assumptions!$C$27:$C$31)</f>
        <v>0</v>
      </c>
      <c r="L24" s="15">
        <f>SUMPRODUCT((Assumptions!$E$48:$E$54&lt;=A24)*Assumptions!$F$48:$F$54)</f>
        <v>0</v>
      </c>
      <c r="M24" s="15">
        <f>IF(A24&lt;=Assumptions!$B$5,(I24+K24)*Assumptions!$B$10,0)</f>
        <v>0</v>
      </c>
      <c r="N24" s="15">
        <f t="shared" si="2"/>
        <v>6382.0150048930655</v>
      </c>
      <c r="O24" s="15">
        <f t="shared" si="3"/>
        <v>1099.0926210124126</v>
      </c>
      <c r="P24" s="15">
        <f t="shared" si="4"/>
        <v>-61777.082113148441</v>
      </c>
    </row>
    <row r="25" spans="1:16" x14ac:dyDescent="0.3">
      <c r="A25" s="26">
        <v>22</v>
      </c>
      <c r="B25" s="5" t="str">
        <f t="shared" si="0"/>
        <v>Year 1</v>
      </c>
      <c r="C25" s="5">
        <f t="shared" si="1"/>
        <v>1</v>
      </c>
      <c r="D25" s="27">
        <f>IF(A25=Assumptions!$B$5,1,0)+IF(AND(A25&gt;Assumptions!$B$5,C25&gt;0),INDEX(Assumptions!$C$35:$C$39,C25),0)</f>
        <v>0.25</v>
      </c>
      <c r="E25" s="27">
        <f>E24*(1-Assumptions!$B$9)+D25</f>
        <v>3.1975564046067579</v>
      </c>
      <c r="F25" s="15">
        <f>E25*Assumptions!$B$6</f>
        <v>7993.8910115168947</v>
      </c>
      <c r="G25" s="15">
        <f>F25*Assumptions!$B$7</f>
        <v>799.38910115168949</v>
      </c>
      <c r="H25" s="15">
        <f>E25*Assumptions!$B$8</f>
        <v>463.64567866797989</v>
      </c>
      <c r="I25" s="15">
        <f>IF(A25&lt;=Assumptions!$B$5,Assumptions!$B$13+Assumptions!$B$14+Assumptions!$B$15+Assumptions!$B$16+IF(A25&gt;=Assumptions!$B$11,Assumptions!$B$17,0),SUM(Assumptions!$B$19:$B$24))</f>
        <v>5200</v>
      </c>
      <c r="J25" s="15">
        <f>IF(C25&gt;0,INDEX(Assumptions!$C$41:$C$45,C25),0)</f>
        <v>0</v>
      </c>
      <c r="K25" s="15">
        <f>SUMIF(Assumptions!$B$27:$B$31,A25,Assumptions!$C$27:$C$31)</f>
        <v>0</v>
      </c>
      <c r="L25" s="15">
        <f>SUMPRODUCT((Assumptions!$E$48:$E$54&lt;=A25)*Assumptions!$F$48:$F$54)</f>
        <v>0</v>
      </c>
      <c r="M25" s="15">
        <f>IF(A25&lt;=Assumptions!$B$5,(I25+K25)*Assumptions!$B$10,0)</f>
        <v>0</v>
      </c>
      <c r="N25" s="15">
        <f t="shared" si="2"/>
        <v>6463.034779819669</v>
      </c>
      <c r="O25" s="15">
        <f t="shared" si="3"/>
        <v>1530.8562316972257</v>
      </c>
      <c r="P25" s="15">
        <f t="shared" si="4"/>
        <v>-60246.225881451217</v>
      </c>
    </row>
    <row r="26" spans="1:16" x14ac:dyDescent="0.3">
      <c r="A26" s="26">
        <v>23</v>
      </c>
      <c r="B26" s="5" t="str">
        <f t="shared" si="0"/>
        <v>Year 1</v>
      </c>
      <c r="C26" s="5">
        <f t="shared" si="1"/>
        <v>1</v>
      </c>
      <c r="D26" s="27">
        <f>IF(A26=Assumptions!$B$5,1,0)+IF(AND(A26&gt;Assumptions!$B$5,C26&gt;0),INDEX(Assumptions!$C$35:$C$39,C26),0)</f>
        <v>0.25</v>
      </c>
      <c r="E26" s="27">
        <f>E25*(1-Assumptions!$B$9)+D26</f>
        <v>3.3995930585376564</v>
      </c>
      <c r="F26" s="15">
        <f>E26*Assumptions!$B$6</f>
        <v>8498.9826463441404</v>
      </c>
      <c r="G26" s="15">
        <f>F26*Assumptions!$B$7</f>
        <v>849.89826463441409</v>
      </c>
      <c r="H26" s="15">
        <f>E26*Assumptions!$B$8</f>
        <v>492.94099348796016</v>
      </c>
      <c r="I26" s="15">
        <f>IF(A26&lt;=Assumptions!$B$5,Assumptions!$B$13+Assumptions!$B$14+Assumptions!$B$15+Assumptions!$B$16+IF(A26&gt;=Assumptions!$B$11,Assumptions!$B$17,0),SUM(Assumptions!$B$19:$B$24))</f>
        <v>5200</v>
      </c>
      <c r="J26" s="15">
        <f>IF(C26&gt;0,INDEX(Assumptions!$C$41:$C$45,C26),0)</f>
        <v>0</v>
      </c>
      <c r="K26" s="15">
        <f>SUMIF(Assumptions!$B$27:$B$31,A26,Assumptions!$C$27:$C$31)</f>
        <v>0</v>
      </c>
      <c r="L26" s="15">
        <f>SUMPRODUCT((Assumptions!$E$48:$E$54&lt;=A26)*Assumptions!$F$48:$F$54)</f>
        <v>0</v>
      </c>
      <c r="M26" s="15">
        <f>IF(A26&lt;=Assumptions!$B$5,(I26+K26)*Assumptions!$B$10,0)</f>
        <v>0</v>
      </c>
      <c r="N26" s="15">
        <f t="shared" si="2"/>
        <v>6542.8392581223743</v>
      </c>
      <c r="O26" s="15">
        <f t="shared" si="3"/>
        <v>1956.1433882217661</v>
      </c>
      <c r="P26" s="15">
        <f t="shared" si="4"/>
        <v>-58290.082493229449</v>
      </c>
    </row>
    <row r="27" spans="1:16" x14ac:dyDescent="0.3">
      <c r="A27" s="26">
        <v>24</v>
      </c>
      <c r="B27" s="5" t="str">
        <f t="shared" si="0"/>
        <v>Year 1</v>
      </c>
      <c r="C27" s="5">
        <f t="shared" si="1"/>
        <v>1</v>
      </c>
      <c r="D27" s="27">
        <f>IF(A27=Assumptions!$B$5,1,0)+IF(AND(A27&gt;Assumptions!$B$5,C27&gt;0),INDEX(Assumptions!$C$35:$C$39,C27),0)</f>
        <v>0.25</v>
      </c>
      <c r="E27" s="27">
        <f>E26*(1-Assumptions!$B$9)+D27</f>
        <v>3.5985991626595917</v>
      </c>
      <c r="F27" s="15">
        <f>E27*Assumptions!$B$6</f>
        <v>8996.4979066489796</v>
      </c>
      <c r="G27" s="15">
        <f>F27*Assumptions!$B$7</f>
        <v>899.64979066489798</v>
      </c>
      <c r="H27" s="15">
        <f>E27*Assumptions!$B$8</f>
        <v>521.7968785856408</v>
      </c>
      <c r="I27" s="15">
        <f>IF(A27&lt;=Assumptions!$B$5,Assumptions!$B$13+Assumptions!$B$14+Assumptions!$B$15+Assumptions!$B$16+IF(A27&gt;=Assumptions!$B$11,Assumptions!$B$17,0),SUM(Assumptions!$B$19:$B$24))</f>
        <v>5200</v>
      </c>
      <c r="J27" s="15">
        <f>IF(C27&gt;0,INDEX(Assumptions!$C$41:$C$45,C27),0)</f>
        <v>0</v>
      </c>
      <c r="K27" s="15">
        <f>SUMIF(Assumptions!$B$27:$B$31,A27,Assumptions!$C$27:$C$31)</f>
        <v>0</v>
      </c>
      <c r="L27" s="15">
        <f>SUMPRODUCT((Assumptions!$E$48:$E$54&lt;=A27)*Assumptions!$F$48:$F$54)</f>
        <v>0</v>
      </c>
      <c r="M27" s="15">
        <f>IF(A27&lt;=Assumptions!$B$5,(I27+K27)*Assumptions!$B$10,0)</f>
        <v>0</v>
      </c>
      <c r="N27" s="15">
        <f t="shared" si="2"/>
        <v>6621.4466692505393</v>
      </c>
      <c r="O27" s="15">
        <f t="shared" si="3"/>
        <v>2375.0512373984402</v>
      </c>
      <c r="P27" s="15">
        <f t="shared" si="4"/>
        <v>-55915.031255831011</v>
      </c>
    </row>
    <row r="28" spans="1:16" x14ac:dyDescent="0.3">
      <c r="A28" s="26">
        <v>25</v>
      </c>
      <c r="B28" s="5" t="str">
        <f t="shared" si="0"/>
        <v>Year 2</v>
      </c>
      <c r="C28" s="5">
        <f t="shared" si="1"/>
        <v>2</v>
      </c>
      <c r="D28" s="27">
        <f>IF(A28=Assumptions!$B$5,1,0)+IF(AND(A28&gt;Assumptions!$B$5,C28&gt;0),INDEX(Assumptions!$C$35:$C$39,C28),0)</f>
        <v>1.17</v>
      </c>
      <c r="E28" s="27">
        <f>E27*(1-Assumptions!$B$9)+D28</f>
        <v>4.7146201752196983</v>
      </c>
      <c r="F28" s="15">
        <f>E28*Assumptions!$B$6</f>
        <v>11786.550438049246</v>
      </c>
      <c r="G28" s="15">
        <f>F28*Assumptions!$B$7</f>
        <v>1178.6550438049246</v>
      </c>
      <c r="H28" s="15">
        <f>E28*Assumptions!$B$8</f>
        <v>683.61992540685628</v>
      </c>
      <c r="I28" s="15">
        <f>IF(A28&lt;=Assumptions!$B$5,Assumptions!$B$13+Assumptions!$B$14+Assumptions!$B$15+Assumptions!$B$16+IF(A28&gt;=Assumptions!$B$11,Assumptions!$B$17,0),SUM(Assumptions!$B$19:$B$24))</f>
        <v>5200</v>
      </c>
      <c r="J28" s="15">
        <f>IF(C28&gt;0,INDEX(Assumptions!$C$41:$C$45,C28),0)</f>
        <v>2000</v>
      </c>
      <c r="K28" s="15">
        <f>SUMIF(Assumptions!$B$27:$B$31,A28,Assumptions!$C$27:$C$31)</f>
        <v>0</v>
      </c>
      <c r="L28" s="15">
        <f>SUMPRODUCT((Assumptions!$E$48:$E$54&lt;=A28)*Assumptions!$F$48:$F$54)</f>
        <v>17179.166666666668</v>
      </c>
      <c r="M28" s="15">
        <f>IF(A28&lt;=Assumptions!$B$5,(I28+K28)*Assumptions!$B$10,0)</f>
        <v>0</v>
      </c>
      <c r="N28" s="15">
        <f t="shared" si="2"/>
        <v>26241.441635878451</v>
      </c>
      <c r="O28" s="15">
        <f t="shared" si="3"/>
        <v>-14454.891197829205</v>
      </c>
      <c r="P28" s="15">
        <f t="shared" si="4"/>
        <v>-70369.922453660212</v>
      </c>
    </row>
    <row r="29" spans="1:16" x14ac:dyDescent="0.3">
      <c r="A29" s="26">
        <v>26</v>
      </c>
      <c r="B29" s="5" t="str">
        <f t="shared" si="0"/>
        <v>Year 2</v>
      </c>
      <c r="C29" s="5">
        <f t="shared" si="1"/>
        <v>2</v>
      </c>
      <c r="D29" s="27">
        <f>IF(A29=Assumptions!$B$5,1,0)+IF(AND(A29&gt;Assumptions!$B$5,C29&gt;0),INDEX(Assumptions!$C$35:$C$39,C29),0)</f>
        <v>1.17</v>
      </c>
      <c r="E29" s="27">
        <f>E28*(1-Assumptions!$B$9)+D29</f>
        <v>5.813900872591403</v>
      </c>
      <c r="F29" s="15">
        <f>E29*Assumptions!$B$6</f>
        <v>14534.752181478507</v>
      </c>
      <c r="G29" s="15">
        <f>F29*Assumptions!$B$7</f>
        <v>1453.4752181478507</v>
      </c>
      <c r="H29" s="15">
        <f>E29*Assumptions!$B$8</f>
        <v>843.01562652575342</v>
      </c>
      <c r="I29" s="15">
        <f>IF(A29&lt;=Assumptions!$B$5,Assumptions!$B$13+Assumptions!$B$14+Assumptions!$B$15+Assumptions!$B$16+IF(A29&gt;=Assumptions!$B$11,Assumptions!$B$17,0),SUM(Assumptions!$B$19:$B$24))</f>
        <v>5200</v>
      </c>
      <c r="J29" s="15">
        <f>IF(C29&gt;0,INDEX(Assumptions!$C$41:$C$45,C29),0)</f>
        <v>2000</v>
      </c>
      <c r="K29" s="15">
        <f>SUMIF(Assumptions!$B$27:$B$31,A29,Assumptions!$C$27:$C$31)</f>
        <v>0</v>
      </c>
      <c r="L29" s="15">
        <f>SUMPRODUCT((Assumptions!$E$48:$E$54&lt;=A29)*Assumptions!$F$48:$F$54)</f>
        <v>17179.166666666668</v>
      </c>
      <c r="M29" s="15">
        <f>IF(A29&lt;=Assumptions!$B$5,(I29+K29)*Assumptions!$B$10,0)</f>
        <v>0</v>
      </c>
      <c r="N29" s="15">
        <f t="shared" si="2"/>
        <v>26675.657511340272</v>
      </c>
      <c r="O29" s="15">
        <f t="shared" si="3"/>
        <v>-12140.905329861765</v>
      </c>
      <c r="P29" s="15">
        <f t="shared" si="4"/>
        <v>-82510.827783521978</v>
      </c>
    </row>
    <row r="30" spans="1:16" x14ac:dyDescent="0.3">
      <c r="A30" s="26">
        <v>27</v>
      </c>
      <c r="B30" s="5" t="str">
        <f t="shared" si="0"/>
        <v>Year 2</v>
      </c>
      <c r="C30" s="5">
        <f t="shared" si="1"/>
        <v>2</v>
      </c>
      <c r="D30" s="27">
        <f>IF(A30=Assumptions!$B$5,1,0)+IF(AND(A30&gt;Assumptions!$B$5,C30&gt;0),INDEX(Assumptions!$C$35:$C$39,C30),0)</f>
        <v>1.17</v>
      </c>
      <c r="E30" s="27">
        <f>E29*(1-Assumptions!$B$9)+D30</f>
        <v>6.8966923595025316</v>
      </c>
      <c r="F30" s="15">
        <f>E30*Assumptions!$B$6</f>
        <v>17241.73089875633</v>
      </c>
      <c r="G30" s="15">
        <f>F30*Assumptions!$B$7</f>
        <v>1724.1730898756332</v>
      </c>
      <c r="H30" s="15">
        <f>E30*Assumptions!$B$8</f>
        <v>1000.0203921278671</v>
      </c>
      <c r="I30" s="15">
        <f>IF(A30&lt;=Assumptions!$B$5,Assumptions!$B$13+Assumptions!$B$14+Assumptions!$B$15+Assumptions!$B$16+IF(A30&gt;=Assumptions!$B$11,Assumptions!$B$17,0),SUM(Assumptions!$B$19:$B$24))</f>
        <v>5200</v>
      </c>
      <c r="J30" s="15">
        <f>IF(C30&gt;0,INDEX(Assumptions!$C$41:$C$45,C30),0)</f>
        <v>2000</v>
      </c>
      <c r="K30" s="15">
        <f>SUMIF(Assumptions!$B$27:$B$31,A30,Assumptions!$C$27:$C$31)</f>
        <v>0</v>
      </c>
      <c r="L30" s="15">
        <f>SUMPRODUCT((Assumptions!$E$48:$E$54&lt;=A30)*Assumptions!$F$48:$F$54)</f>
        <v>17179.166666666668</v>
      </c>
      <c r="M30" s="15">
        <f>IF(A30&lt;=Assumptions!$B$5,(I30+K30)*Assumptions!$B$10,0)</f>
        <v>0</v>
      </c>
      <c r="N30" s="15">
        <f t="shared" si="2"/>
        <v>27103.360148670166</v>
      </c>
      <c r="O30" s="15">
        <f t="shared" si="3"/>
        <v>-9861.6292499138362</v>
      </c>
      <c r="P30" s="15">
        <f t="shared" si="4"/>
        <v>-92372.457033435814</v>
      </c>
    </row>
    <row r="31" spans="1:16" x14ac:dyDescent="0.3">
      <c r="A31" s="26">
        <v>28</v>
      </c>
      <c r="B31" s="5" t="str">
        <f t="shared" si="0"/>
        <v>Year 2</v>
      </c>
      <c r="C31" s="5">
        <f t="shared" si="1"/>
        <v>2</v>
      </c>
      <c r="D31" s="27">
        <f>IF(A31=Assumptions!$B$5,1,0)+IF(AND(A31&gt;Assumptions!$B$5,C31&gt;0),INDEX(Assumptions!$C$35:$C$39,C31),0)</f>
        <v>1.17</v>
      </c>
      <c r="E31" s="27">
        <f>E30*(1-Assumptions!$B$9)+D31</f>
        <v>7.9632419741099936</v>
      </c>
      <c r="F31" s="15">
        <f>E31*Assumptions!$B$6</f>
        <v>19908.104935274983</v>
      </c>
      <c r="G31" s="15">
        <f>F31*Assumptions!$B$7</f>
        <v>1990.8104935274985</v>
      </c>
      <c r="H31" s="15">
        <f>E31*Assumptions!$B$8</f>
        <v>1154.6700862459491</v>
      </c>
      <c r="I31" s="15">
        <f>IF(A31&lt;=Assumptions!$B$5,Assumptions!$B$13+Assumptions!$B$14+Assumptions!$B$15+Assumptions!$B$16+IF(A31&gt;=Assumptions!$B$11,Assumptions!$B$17,0),SUM(Assumptions!$B$19:$B$24))</f>
        <v>5200</v>
      </c>
      <c r="J31" s="15">
        <f>IF(C31&gt;0,INDEX(Assumptions!$C$41:$C$45,C31),0)</f>
        <v>2000</v>
      </c>
      <c r="K31" s="15">
        <f>SUMIF(Assumptions!$B$27:$B$31,A31,Assumptions!$C$27:$C$31)</f>
        <v>0</v>
      </c>
      <c r="L31" s="15">
        <f>SUMPRODUCT((Assumptions!$E$48:$E$54&lt;=A31)*Assumptions!$F$48:$F$54)</f>
        <v>17179.166666666668</v>
      </c>
      <c r="M31" s="15">
        <f>IF(A31&lt;=Assumptions!$B$5,(I31+K31)*Assumptions!$B$10,0)</f>
        <v>0</v>
      </c>
      <c r="N31" s="15">
        <f t="shared" si="2"/>
        <v>27524.647246440116</v>
      </c>
      <c r="O31" s="15">
        <f t="shared" si="3"/>
        <v>-7616.5423111651326</v>
      </c>
      <c r="P31" s="15">
        <f t="shared" si="4"/>
        <v>-99988.999344600947</v>
      </c>
    </row>
    <row r="32" spans="1:16" x14ac:dyDescent="0.3">
      <c r="A32" s="26">
        <v>29</v>
      </c>
      <c r="B32" s="5" t="str">
        <f t="shared" si="0"/>
        <v>Year 2</v>
      </c>
      <c r="C32" s="5">
        <f t="shared" si="1"/>
        <v>2</v>
      </c>
      <c r="D32" s="27">
        <f>IF(A32=Assumptions!$B$5,1,0)+IF(AND(A32&gt;Assumptions!$B$5,C32&gt;0),INDEX(Assumptions!$C$35:$C$39,C32),0)</f>
        <v>1.17</v>
      </c>
      <c r="E32" s="27">
        <f>E31*(1-Assumptions!$B$9)+D32</f>
        <v>9.0137933444983425</v>
      </c>
      <c r="F32" s="15">
        <f>E32*Assumptions!$B$6</f>
        <v>22534.483361245857</v>
      </c>
      <c r="G32" s="15">
        <f>F32*Assumptions!$B$7</f>
        <v>2253.4483361245857</v>
      </c>
      <c r="H32" s="15">
        <f>E32*Assumptions!$B$8</f>
        <v>1307.0000349522597</v>
      </c>
      <c r="I32" s="15">
        <f>IF(A32&lt;=Assumptions!$B$5,Assumptions!$B$13+Assumptions!$B$14+Assumptions!$B$15+Assumptions!$B$16+IF(A32&gt;=Assumptions!$B$11,Assumptions!$B$17,0),SUM(Assumptions!$B$19:$B$24))</f>
        <v>5200</v>
      </c>
      <c r="J32" s="15">
        <f>IF(C32&gt;0,INDEX(Assumptions!$C$41:$C$45,C32),0)</f>
        <v>2000</v>
      </c>
      <c r="K32" s="15">
        <f>SUMIF(Assumptions!$B$27:$B$31,A32,Assumptions!$C$27:$C$31)</f>
        <v>0</v>
      </c>
      <c r="L32" s="15">
        <f>SUMPRODUCT((Assumptions!$E$48:$E$54&lt;=A32)*Assumptions!$F$48:$F$54)</f>
        <v>17179.166666666668</v>
      </c>
      <c r="M32" s="15">
        <f>IF(A32&lt;=Assumptions!$B$5,(I32+K32)*Assumptions!$B$10,0)</f>
        <v>0</v>
      </c>
      <c r="N32" s="15">
        <f t="shared" si="2"/>
        <v>27939.615037743511</v>
      </c>
      <c r="O32" s="15">
        <f t="shared" si="3"/>
        <v>-5405.1316764976546</v>
      </c>
      <c r="P32" s="15">
        <f t="shared" si="4"/>
        <v>-105394.1310210986</v>
      </c>
    </row>
    <row r="33" spans="1:16" x14ac:dyDescent="0.3">
      <c r="A33" s="26">
        <v>30</v>
      </c>
      <c r="B33" s="5" t="str">
        <f t="shared" si="0"/>
        <v>Year 2</v>
      </c>
      <c r="C33" s="5">
        <f t="shared" si="1"/>
        <v>2</v>
      </c>
      <c r="D33" s="27">
        <f>IF(A33=Assumptions!$B$5,1,0)+IF(AND(A33&gt;Assumptions!$B$5,C33&gt;0),INDEX(Assumptions!$C$35:$C$39,C33),0)</f>
        <v>1.17</v>
      </c>
      <c r="E33" s="27">
        <f>E32*(1-Assumptions!$B$9)+D33</f>
        <v>10.048586444330867</v>
      </c>
      <c r="F33" s="15">
        <f>E33*Assumptions!$B$6</f>
        <v>25121.466110827168</v>
      </c>
      <c r="G33" s="15">
        <f>F33*Assumptions!$B$7</f>
        <v>2512.1466110827168</v>
      </c>
      <c r="H33" s="15">
        <f>E33*Assumptions!$B$8</f>
        <v>1457.0450344279757</v>
      </c>
      <c r="I33" s="15">
        <f>IF(A33&lt;=Assumptions!$B$5,Assumptions!$B$13+Assumptions!$B$14+Assumptions!$B$15+Assumptions!$B$16+IF(A33&gt;=Assumptions!$B$11,Assumptions!$B$17,0),SUM(Assumptions!$B$19:$B$24))</f>
        <v>5200</v>
      </c>
      <c r="J33" s="15">
        <f>IF(C33&gt;0,INDEX(Assumptions!$C$41:$C$45,C33),0)</f>
        <v>2000</v>
      </c>
      <c r="K33" s="15">
        <f>SUMIF(Assumptions!$B$27:$B$31,A33,Assumptions!$C$27:$C$31)</f>
        <v>0</v>
      </c>
      <c r="L33" s="15">
        <f>SUMPRODUCT((Assumptions!$E$48:$E$54&lt;=A33)*Assumptions!$F$48:$F$54)</f>
        <v>17179.166666666668</v>
      </c>
      <c r="M33" s="15">
        <f>IF(A33&lt;=Assumptions!$B$5,(I33+K33)*Assumptions!$B$10,0)</f>
        <v>0</v>
      </c>
      <c r="N33" s="15">
        <f t="shared" si="2"/>
        <v>28348.358312177363</v>
      </c>
      <c r="O33" s="15">
        <f t="shared" si="3"/>
        <v>-3226.8922013501942</v>
      </c>
      <c r="P33" s="15">
        <f t="shared" si="4"/>
        <v>-108621.0232224488</v>
      </c>
    </row>
    <row r="34" spans="1:16" x14ac:dyDescent="0.3">
      <c r="A34" s="26">
        <v>31</v>
      </c>
      <c r="B34" s="5" t="str">
        <f t="shared" si="0"/>
        <v>Year 2</v>
      </c>
      <c r="C34" s="5">
        <f t="shared" si="1"/>
        <v>2</v>
      </c>
      <c r="D34" s="27">
        <f>IF(A34=Assumptions!$B$5,1,0)+IF(AND(A34&gt;Assumptions!$B$5,C34&gt;0),INDEX(Assumptions!$C$35:$C$39,C34),0)</f>
        <v>1.17</v>
      </c>
      <c r="E34" s="27">
        <f>E33*(1-Assumptions!$B$9)+D34</f>
        <v>11.067857647665905</v>
      </c>
      <c r="F34" s="15">
        <f>E34*Assumptions!$B$6</f>
        <v>27669.644119164761</v>
      </c>
      <c r="G34" s="15">
        <f>F34*Assumptions!$B$7</f>
        <v>2766.9644119164764</v>
      </c>
      <c r="H34" s="15">
        <f>E34*Assumptions!$B$8</f>
        <v>1604.8393589115562</v>
      </c>
      <c r="I34" s="15">
        <f>IF(A34&lt;=Assumptions!$B$5,Assumptions!$B$13+Assumptions!$B$14+Assumptions!$B$15+Assumptions!$B$16+IF(A34&gt;=Assumptions!$B$11,Assumptions!$B$17,0),SUM(Assumptions!$B$19:$B$24))</f>
        <v>5200</v>
      </c>
      <c r="J34" s="15">
        <f>IF(C34&gt;0,INDEX(Assumptions!$C$41:$C$45,C34),0)</f>
        <v>2000</v>
      </c>
      <c r="K34" s="15">
        <f>SUMIF(Assumptions!$B$27:$B$31,A34,Assumptions!$C$27:$C$31)</f>
        <v>0</v>
      </c>
      <c r="L34" s="15">
        <f>SUMPRODUCT((Assumptions!$E$48:$E$54&lt;=A34)*Assumptions!$F$48:$F$54)</f>
        <v>17179.166666666668</v>
      </c>
      <c r="M34" s="15">
        <f>IF(A34&lt;=Assumptions!$B$5,(I34+K34)*Assumptions!$B$10,0)</f>
        <v>0</v>
      </c>
      <c r="N34" s="15">
        <f t="shared" si="2"/>
        <v>28750.9704374947</v>
      </c>
      <c r="O34" s="15">
        <f t="shared" si="3"/>
        <v>-1081.3263183299387</v>
      </c>
      <c r="P34" s="15">
        <f t="shared" si="4"/>
        <v>-109702.34954077874</v>
      </c>
    </row>
    <row r="35" spans="1:16" x14ac:dyDescent="0.3">
      <c r="A35" s="26">
        <v>32</v>
      </c>
      <c r="B35" s="5" t="str">
        <f t="shared" si="0"/>
        <v>Year 2</v>
      </c>
      <c r="C35" s="5">
        <f t="shared" si="1"/>
        <v>2</v>
      </c>
      <c r="D35" s="27">
        <f>IF(A35=Assumptions!$B$5,1,0)+IF(AND(A35&gt;Assumptions!$B$5,C35&gt;0),INDEX(Assumptions!$C$35:$C$39,C35),0)</f>
        <v>1.17</v>
      </c>
      <c r="E35" s="27">
        <f>E34*(1-Assumptions!$B$9)+D35</f>
        <v>12.071839782950915</v>
      </c>
      <c r="F35" s="15">
        <f>E35*Assumptions!$B$6</f>
        <v>30179.599457377288</v>
      </c>
      <c r="G35" s="15">
        <f>F35*Assumptions!$B$7</f>
        <v>3017.959945737729</v>
      </c>
      <c r="H35" s="15">
        <f>E35*Assumptions!$B$8</f>
        <v>1750.4167685278828</v>
      </c>
      <c r="I35" s="15">
        <f>IF(A35&lt;=Assumptions!$B$5,Assumptions!$B$13+Assumptions!$B$14+Assumptions!$B$15+Assumptions!$B$16+IF(A35&gt;=Assumptions!$B$11,Assumptions!$B$17,0),SUM(Assumptions!$B$19:$B$24))</f>
        <v>5200</v>
      </c>
      <c r="J35" s="15">
        <f>IF(C35&gt;0,INDEX(Assumptions!$C$41:$C$45,C35),0)</f>
        <v>2000</v>
      </c>
      <c r="K35" s="15">
        <f>SUMIF(Assumptions!$B$27:$B$31,A35,Assumptions!$C$27:$C$31)</f>
        <v>0</v>
      </c>
      <c r="L35" s="15">
        <f>SUMPRODUCT((Assumptions!$E$48:$E$54&lt;=A35)*Assumptions!$F$48:$F$54)</f>
        <v>17179.166666666668</v>
      </c>
      <c r="M35" s="15">
        <f>IF(A35&lt;=Assumptions!$B$5,(I35+K35)*Assumptions!$B$10,0)</f>
        <v>0</v>
      </c>
      <c r="N35" s="15">
        <f t="shared" si="2"/>
        <v>29147.543380932279</v>
      </c>
      <c r="O35" s="15">
        <f t="shared" si="3"/>
        <v>1032.0560764450092</v>
      </c>
      <c r="P35" s="15">
        <f t="shared" si="4"/>
        <v>-108670.29346433374</v>
      </c>
    </row>
    <row r="36" spans="1:16" x14ac:dyDescent="0.3">
      <c r="A36" s="26">
        <v>33</v>
      </c>
      <c r="B36" s="5" t="str">
        <f t="shared" ref="B36:B67" si="5">"Year "&amp;INT((A36-1)/12)</f>
        <v>Year 2</v>
      </c>
      <c r="C36" s="5">
        <f t="shared" ref="C36:C67" si="6">IF(A36&lt;=12,0,INT((A36-13)/12)+1)</f>
        <v>2</v>
      </c>
      <c r="D36" s="27">
        <f>IF(A36=Assumptions!$B$5,1,0)+IF(AND(A36&gt;Assumptions!$B$5,C36&gt;0),INDEX(Assumptions!$C$35:$C$39,C36),0)</f>
        <v>1.17</v>
      </c>
      <c r="E36" s="27">
        <f>E35*(1-Assumptions!$B$9)+D36</f>
        <v>13.060762186206652</v>
      </c>
      <c r="F36" s="15">
        <f>E36*Assumptions!$B$6</f>
        <v>32651.905465516629</v>
      </c>
      <c r="G36" s="15">
        <f>F36*Assumptions!$B$7</f>
        <v>3265.1905465516629</v>
      </c>
      <c r="H36" s="15">
        <f>E36*Assumptions!$B$8</f>
        <v>1893.8105169999646</v>
      </c>
      <c r="I36" s="15">
        <f>IF(A36&lt;=Assumptions!$B$5,Assumptions!$B$13+Assumptions!$B$14+Assumptions!$B$15+Assumptions!$B$16+IF(A36&gt;=Assumptions!$B$11,Assumptions!$B$17,0),SUM(Assumptions!$B$19:$B$24))</f>
        <v>5200</v>
      </c>
      <c r="J36" s="15">
        <f>IF(C36&gt;0,INDEX(Assumptions!$C$41:$C$45,C36),0)</f>
        <v>2000</v>
      </c>
      <c r="K36" s="15">
        <f>SUMIF(Assumptions!$B$27:$B$31,A36,Assumptions!$C$27:$C$31)</f>
        <v>0</v>
      </c>
      <c r="L36" s="15">
        <f>SUMPRODUCT((Assumptions!$E$48:$E$54&lt;=A36)*Assumptions!$F$48:$F$54)</f>
        <v>17179.166666666668</v>
      </c>
      <c r="M36" s="15">
        <f>IF(A36&lt;=Assumptions!$B$5,(I36+K36)*Assumptions!$B$10,0)</f>
        <v>0</v>
      </c>
      <c r="N36" s="15">
        <f t="shared" ref="N36:N67" si="7">SUM(G36:M36)</f>
        <v>29538.167730218294</v>
      </c>
      <c r="O36" s="15">
        <f t="shared" ref="O36:O67" si="8">F36-N36</f>
        <v>3113.7377352983349</v>
      </c>
      <c r="P36" s="15">
        <f t="shared" si="4"/>
        <v>-105556.5557290354</v>
      </c>
    </row>
    <row r="37" spans="1:16" x14ac:dyDescent="0.3">
      <c r="A37" s="26">
        <v>34</v>
      </c>
      <c r="B37" s="5" t="str">
        <f t="shared" si="5"/>
        <v>Year 2</v>
      </c>
      <c r="C37" s="5">
        <f t="shared" si="6"/>
        <v>2</v>
      </c>
      <c r="D37" s="27">
        <f>IF(A37=Assumptions!$B$5,1,0)+IF(AND(A37&gt;Assumptions!$B$5,C37&gt;0),INDEX(Assumptions!$C$35:$C$39,C37),0)</f>
        <v>1.17</v>
      </c>
      <c r="E37" s="27">
        <f>E36*(1-Assumptions!$B$9)+D37</f>
        <v>14.034850753413552</v>
      </c>
      <c r="F37" s="15">
        <f>E37*Assumptions!$B$6</f>
        <v>35087.126883533878</v>
      </c>
      <c r="G37" s="15">
        <f>F37*Assumptions!$B$7</f>
        <v>3508.7126883533879</v>
      </c>
      <c r="H37" s="15">
        <f>E37*Assumptions!$B$8</f>
        <v>2035.0533592449651</v>
      </c>
      <c r="I37" s="15">
        <f>IF(A37&lt;=Assumptions!$B$5,Assumptions!$B$13+Assumptions!$B$14+Assumptions!$B$15+Assumptions!$B$16+IF(A37&gt;=Assumptions!$B$11,Assumptions!$B$17,0),SUM(Assumptions!$B$19:$B$24))</f>
        <v>5200</v>
      </c>
      <c r="J37" s="15">
        <f>IF(C37&gt;0,INDEX(Assumptions!$C$41:$C$45,C37),0)</f>
        <v>2000</v>
      </c>
      <c r="K37" s="15">
        <f>SUMIF(Assumptions!$B$27:$B$31,A37,Assumptions!$C$27:$C$31)</f>
        <v>0</v>
      </c>
      <c r="L37" s="15">
        <f>SUMPRODUCT((Assumptions!$E$48:$E$54&lt;=A37)*Assumptions!$F$48:$F$54)</f>
        <v>17179.166666666668</v>
      </c>
      <c r="M37" s="15">
        <f>IF(A37&lt;=Assumptions!$B$5,(I37+K37)*Assumptions!$B$10,0)</f>
        <v>0</v>
      </c>
      <c r="N37" s="15">
        <f t="shared" si="7"/>
        <v>29922.932714265022</v>
      </c>
      <c r="O37" s="15">
        <f t="shared" si="8"/>
        <v>5164.1941692688561</v>
      </c>
      <c r="P37" s="15">
        <f t="shared" ref="P37:P68" si="9">P36+O37</f>
        <v>-100392.36155976655</v>
      </c>
    </row>
    <row r="38" spans="1:16" x14ac:dyDescent="0.3">
      <c r="A38" s="26">
        <v>35</v>
      </c>
      <c r="B38" s="5" t="str">
        <f t="shared" si="5"/>
        <v>Year 2</v>
      </c>
      <c r="C38" s="5">
        <f t="shared" si="6"/>
        <v>2</v>
      </c>
      <c r="D38" s="27">
        <f>IF(A38=Assumptions!$B$5,1,0)+IF(AND(A38&gt;Assumptions!$B$5,C38&gt;0),INDEX(Assumptions!$C$35:$C$39,C38),0)</f>
        <v>1.17</v>
      </c>
      <c r="E38" s="27">
        <f>E37*(1-Assumptions!$B$9)+D38</f>
        <v>14.99432799211235</v>
      </c>
      <c r="F38" s="15">
        <f>E38*Assumptions!$B$6</f>
        <v>37485.819980280874</v>
      </c>
      <c r="G38" s="15">
        <f>F38*Assumptions!$B$7</f>
        <v>3748.5819980280876</v>
      </c>
      <c r="H38" s="15">
        <f>E38*Assumptions!$B$8</f>
        <v>2174.1775588562909</v>
      </c>
      <c r="I38" s="15">
        <f>IF(A38&lt;=Assumptions!$B$5,Assumptions!$B$13+Assumptions!$B$14+Assumptions!$B$15+Assumptions!$B$16+IF(A38&gt;=Assumptions!$B$11,Assumptions!$B$17,0),SUM(Assumptions!$B$19:$B$24))</f>
        <v>5200</v>
      </c>
      <c r="J38" s="15">
        <f>IF(C38&gt;0,INDEX(Assumptions!$C$41:$C$45,C38),0)</f>
        <v>2000</v>
      </c>
      <c r="K38" s="15">
        <f>SUMIF(Assumptions!$B$27:$B$31,A38,Assumptions!$C$27:$C$31)</f>
        <v>0</v>
      </c>
      <c r="L38" s="15">
        <f>SUMPRODUCT((Assumptions!$E$48:$E$54&lt;=A38)*Assumptions!$F$48:$F$54)</f>
        <v>17179.166666666668</v>
      </c>
      <c r="M38" s="15">
        <f>IF(A38&lt;=Assumptions!$B$5,(I38+K38)*Assumptions!$B$10,0)</f>
        <v>0</v>
      </c>
      <c r="N38" s="15">
        <f t="shared" si="7"/>
        <v>30301.926223551047</v>
      </c>
      <c r="O38" s="15">
        <f t="shared" si="8"/>
        <v>7183.8937567298271</v>
      </c>
      <c r="P38" s="15">
        <f t="shared" si="9"/>
        <v>-93208.467803036721</v>
      </c>
    </row>
    <row r="39" spans="1:16" x14ac:dyDescent="0.3">
      <c r="A39" s="26">
        <v>36</v>
      </c>
      <c r="B39" s="5" t="str">
        <f t="shared" si="5"/>
        <v>Year 2</v>
      </c>
      <c r="C39" s="5">
        <f t="shared" si="6"/>
        <v>2</v>
      </c>
      <c r="D39" s="27">
        <f>IF(A39=Assumptions!$B$5,1,0)+IF(AND(A39&gt;Assumptions!$B$5,C39&gt;0),INDEX(Assumptions!$C$35:$C$39,C39),0)</f>
        <v>1.17</v>
      </c>
      <c r="E39" s="27">
        <f>E38*(1-Assumptions!$B$9)+D39</f>
        <v>15.939413072230664</v>
      </c>
      <c r="F39" s="15">
        <f>E39*Assumptions!$B$6</f>
        <v>39848.53268057666</v>
      </c>
      <c r="G39" s="15">
        <f>F39*Assumptions!$B$7</f>
        <v>3984.8532680576664</v>
      </c>
      <c r="H39" s="15">
        <f>E39*Assumptions!$B$8</f>
        <v>2311.2148954734462</v>
      </c>
      <c r="I39" s="15">
        <f>IF(A39&lt;=Assumptions!$B$5,Assumptions!$B$13+Assumptions!$B$14+Assumptions!$B$15+Assumptions!$B$16+IF(A39&gt;=Assumptions!$B$11,Assumptions!$B$17,0),SUM(Assumptions!$B$19:$B$24))</f>
        <v>5200</v>
      </c>
      <c r="J39" s="15">
        <f>IF(C39&gt;0,INDEX(Assumptions!$C$41:$C$45,C39),0)</f>
        <v>2000</v>
      </c>
      <c r="K39" s="15">
        <f>SUMIF(Assumptions!$B$27:$B$31,A39,Assumptions!$C$27:$C$31)</f>
        <v>0</v>
      </c>
      <c r="L39" s="15">
        <f>SUMPRODUCT((Assumptions!$E$48:$E$54&lt;=A39)*Assumptions!$F$48:$F$54)</f>
        <v>17179.166666666668</v>
      </c>
      <c r="M39" s="15">
        <f>IF(A39&lt;=Assumptions!$B$5,(I39+K39)*Assumptions!$B$10,0)</f>
        <v>0</v>
      </c>
      <c r="N39" s="15">
        <f t="shared" si="7"/>
        <v>30675.23483019778</v>
      </c>
      <c r="O39" s="15">
        <f t="shared" si="8"/>
        <v>9173.29785037888</v>
      </c>
      <c r="P39" s="15">
        <f t="shared" si="9"/>
        <v>-84035.169952657845</v>
      </c>
    </row>
    <row r="40" spans="1:16" x14ac:dyDescent="0.3">
      <c r="A40" s="26">
        <v>37</v>
      </c>
      <c r="B40" s="5" t="str">
        <f t="shared" si="5"/>
        <v>Year 3</v>
      </c>
      <c r="C40" s="5">
        <f t="shared" si="6"/>
        <v>3</v>
      </c>
      <c r="D40" s="27">
        <f>IF(A40=Assumptions!$B$5,1,0)+IF(AND(A40&gt;Assumptions!$B$5,C40&gt;0),INDEX(Assumptions!$C$35:$C$39,C40),0)</f>
        <v>2.5</v>
      </c>
      <c r="E40" s="27">
        <f>E39*(1-Assumptions!$B$9)+D40</f>
        <v>18.200321876147203</v>
      </c>
      <c r="F40" s="15">
        <f>E40*Assumptions!$B$6</f>
        <v>45500.804690368008</v>
      </c>
      <c r="G40" s="15">
        <f>F40*Assumptions!$B$7</f>
        <v>4550.0804690368013</v>
      </c>
      <c r="H40" s="15">
        <f>E40*Assumptions!$B$8</f>
        <v>2639.0466720413447</v>
      </c>
      <c r="I40" s="15">
        <f>IF(A40&lt;=Assumptions!$B$5,Assumptions!$B$13+Assumptions!$B$14+Assumptions!$B$15+Assumptions!$B$16+IF(A40&gt;=Assumptions!$B$11,Assumptions!$B$17,0),SUM(Assumptions!$B$19:$B$24))</f>
        <v>5200</v>
      </c>
      <c r="J40" s="15">
        <f>IF(C40&gt;0,INDEX(Assumptions!$C$41:$C$45,C40),0)</f>
        <v>5000</v>
      </c>
      <c r="K40" s="15">
        <f>SUMIF(Assumptions!$B$27:$B$31,A40,Assumptions!$C$27:$C$31)</f>
        <v>0</v>
      </c>
      <c r="L40" s="15">
        <f>SUMPRODUCT((Assumptions!$E$48:$E$54&lt;=A40)*Assumptions!$F$48:$F$54)</f>
        <v>52710.833333333336</v>
      </c>
      <c r="M40" s="15">
        <f>IF(A40&lt;=Assumptions!$B$5,(I40+K40)*Assumptions!$B$10,0)</f>
        <v>0</v>
      </c>
      <c r="N40" s="15">
        <f t="shared" si="7"/>
        <v>70099.960474411491</v>
      </c>
      <c r="O40" s="15">
        <f t="shared" si="8"/>
        <v>-24599.155784043483</v>
      </c>
      <c r="P40" s="15">
        <f t="shared" si="9"/>
        <v>-108634.32573670133</v>
      </c>
    </row>
    <row r="41" spans="1:16" x14ac:dyDescent="0.3">
      <c r="A41" s="26">
        <v>38</v>
      </c>
      <c r="B41" s="5" t="str">
        <f t="shared" si="5"/>
        <v>Year 3</v>
      </c>
      <c r="C41" s="5">
        <f t="shared" si="6"/>
        <v>3</v>
      </c>
      <c r="D41" s="27">
        <f>IF(A41=Assumptions!$B$5,1,0)+IF(AND(A41&gt;Assumptions!$B$5,C41&gt;0),INDEX(Assumptions!$C$35:$C$39,C41),0)</f>
        <v>2.5</v>
      </c>
      <c r="E41" s="27">
        <f>E40*(1-Assumptions!$B$9)+D41</f>
        <v>20.427317048004994</v>
      </c>
      <c r="F41" s="15">
        <f>E41*Assumptions!$B$6</f>
        <v>51068.292620012486</v>
      </c>
      <c r="G41" s="15">
        <f>F41*Assumptions!$B$7</f>
        <v>5106.8292620012489</v>
      </c>
      <c r="H41" s="15">
        <f>E41*Assumptions!$B$8</f>
        <v>2961.9609719607242</v>
      </c>
      <c r="I41" s="15">
        <f>IF(A41&lt;=Assumptions!$B$5,Assumptions!$B$13+Assumptions!$B$14+Assumptions!$B$15+Assumptions!$B$16+IF(A41&gt;=Assumptions!$B$11,Assumptions!$B$17,0),SUM(Assumptions!$B$19:$B$24))</f>
        <v>5200</v>
      </c>
      <c r="J41" s="15">
        <f>IF(C41&gt;0,INDEX(Assumptions!$C$41:$C$45,C41),0)</f>
        <v>5000</v>
      </c>
      <c r="K41" s="15">
        <f>SUMIF(Assumptions!$B$27:$B$31,A41,Assumptions!$C$27:$C$31)</f>
        <v>0</v>
      </c>
      <c r="L41" s="15">
        <f>SUMPRODUCT((Assumptions!$E$48:$E$54&lt;=A41)*Assumptions!$F$48:$F$54)</f>
        <v>52710.833333333336</v>
      </c>
      <c r="M41" s="15">
        <f>IF(A41&lt;=Assumptions!$B$5,(I41+K41)*Assumptions!$B$10,0)</f>
        <v>0</v>
      </c>
      <c r="N41" s="15">
        <f t="shared" si="7"/>
        <v>70979.623567295304</v>
      </c>
      <c r="O41" s="15">
        <f t="shared" si="8"/>
        <v>-19911.330947282819</v>
      </c>
      <c r="P41" s="15">
        <f t="shared" si="9"/>
        <v>-128545.65668398415</v>
      </c>
    </row>
    <row r="42" spans="1:16" x14ac:dyDescent="0.3">
      <c r="A42" s="26">
        <v>39</v>
      </c>
      <c r="B42" s="5" t="str">
        <f t="shared" si="5"/>
        <v>Year 3</v>
      </c>
      <c r="C42" s="5">
        <f t="shared" si="6"/>
        <v>3</v>
      </c>
      <c r="D42" s="27">
        <f>IF(A42=Assumptions!$B$5,1,0)+IF(AND(A42&gt;Assumptions!$B$5,C42&gt;0),INDEX(Assumptions!$C$35:$C$39,C42),0)</f>
        <v>2.5</v>
      </c>
      <c r="E42" s="27">
        <f>E41*(1-Assumptions!$B$9)+D42</f>
        <v>22.620907292284919</v>
      </c>
      <c r="F42" s="15">
        <f>E42*Assumptions!$B$6</f>
        <v>56552.268230712296</v>
      </c>
      <c r="G42" s="15">
        <f>F42*Assumptions!$B$7</f>
        <v>5655.2268230712298</v>
      </c>
      <c r="H42" s="15">
        <f>E42*Assumptions!$B$8</f>
        <v>3280.0315573813132</v>
      </c>
      <c r="I42" s="15">
        <f>IF(A42&lt;=Assumptions!$B$5,Assumptions!$B$13+Assumptions!$B$14+Assumptions!$B$15+Assumptions!$B$16+IF(A42&gt;=Assumptions!$B$11,Assumptions!$B$17,0),SUM(Assumptions!$B$19:$B$24))</f>
        <v>5200</v>
      </c>
      <c r="J42" s="15">
        <f>IF(C42&gt;0,INDEX(Assumptions!$C$41:$C$45,C42),0)</f>
        <v>5000</v>
      </c>
      <c r="K42" s="15">
        <f>SUMIF(Assumptions!$B$27:$B$31,A42,Assumptions!$C$27:$C$31)</f>
        <v>0</v>
      </c>
      <c r="L42" s="15">
        <f>SUMPRODUCT((Assumptions!$E$48:$E$54&lt;=A42)*Assumptions!$F$48:$F$54)</f>
        <v>52710.833333333336</v>
      </c>
      <c r="M42" s="15">
        <f>IF(A42&lt;=Assumptions!$B$5,(I42+K42)*Assumptions!$B$10,0)</f>
        <v>0</v>
      </c>
      <c r="N42" s="15">
        <f t="shared" si="7"/>
        <v>71846.091713785878</v>
      </c>
      <c r="O42" s="15">
        <f t="shared" si="8"/>
        <v>-15293.823483073582</v>
      </c>
      <c r="P42" s="15">
        <f t="shared" si="9"/>
        <v>-143839.48016705774</v>
      </c>
    </row>
    <row r="43" spans="1:16" x14ac:dyDescent="0.3">
      <c r="A43" s="26">
        <v>40</v>
      </c>
      <c r="B43" s="5" t="str">
        <f t="shared" si="5"/>
        <v>Year 3</v>
      </c>
      <c r="C43" s="5">
        <f t="shared" si="6"/>
        <v>3</v>
      </c>
      <c r="D43" s="27">
        <f>IF(A43=Assumptions!$B$5,1,0)+IF(AND(A43&gt;Assumptions!$B$5,C43&gt;0),INDEX(Assumptions!$C$35:$C$39,C43),0)</f>
        <v>2.5</v>
      </c>
      <c r="E43" s="27">
        <f>E42*(1-Assumptions!$B$9)+D43</f>
        <v>24.781593682900645</v>
      </c>
      <c r="F43" s="15">
        <f>E43*Assumptions!$B$6</f>
        <v>61953.984207251611</v>
      </c>
      <c r="G43" s="15">
        <f>F43*Assumptions!$B$7</f>
        <v>6195.3984207251615</v>
      </c>
      <c r="H43" s="15">
        <f>E43*Assumptions!$B$8</f>
        <v>3593.3310840205936</v>
      </c>
      <c r="I43" s="15">
        <f>IF(A43&lt;=Assumptions!$B$5,Assumptions!$B$13+Assumptions!$B$14+Assumptions!$B$15+Assumptions!$B$16+IF(A43&gt;=Assumptions!$B$11,Assumptions!$B$17,0),SUM(Assumptions!$B$19:$B$24))</f>
        <v>5200</v>
      </c>
      <c r="J43" s="15">
        <f>IF(C43&gt;0,INDEX(Assumptions!$C$41:$C$45,C43),0)</f>
        <v>5000</v>
      </c>
      <c r="K43" s="15">
        <f>SUMIF(Assumptions!$B$27:$B$31,A43,Assumptions!$C$27:$C$31)</f>
        <v>0</v>
      </c>
      <c r="L43" s="15">
        <f>SUMPRODUCT((Assumptions!$E$48:$E$54&lt;=A43)*Assumptions!$F$48:$F$54)</f>
        <v>52710.833333333336</v>
      </c>
      <c r="M43" s="15">
        <f>IF(A43&lt;=Assumptions!$B$5,(I43+K43)*Assumptions!$B$10,0)</f>
        <v>0</v>
      </c>
      <c r="N43" s="15">
        <f t="shared" si="7"/>
        <v>72699.562838079088</v>
      </c>
      <c r="O43" s="15">
        <f t="shared" si="8"/>
        <v>-10745.578630827476</v>
      </c>
      <c r="P43" s="15">
        <f t="shared" si="9"/>
        <v>-154585.05879788523</v>
      </c>
    </row>
    <row r="44" spans="1:16" x14ac:dyDescent="0.3">
      <c r="A44" s="26">
        <v>41</v>
      </c>
      <c r="B44" s="5" t="str">
        <f t="shared" si="5"/>
        <v>Year 3</v>
      </c>
      <c r="C44" s="5">
        <f t="shared" si="6"/>
        <v>3</v>
      </c>
      <c r="D44" s="27">
        <f>IF(A44=Assumptions!$B$5,1,0)+IF(AND(A44&gt;Assumptions!$B$5,C44&gt;0),INDEX(Assumptions!$C$35:$C$39,C44),0)</f>
        <v>2.5</v>
      </c>
      <c r="E44" s="27">
        <f>E43*(1-Assumptions!$B$9)+D44</f>
        <v>26.909869777657136</v>
      </c>
      <c r="F44" s="15">
        <f>E44*Assumptions!$B$6</f>
        <v>67274.674444142845</v>
      </c>
      <c r="G44" s="15">
        <f>F44*Assumptions!$B$7</f>
        <v>6727.4674444142847</v>
      </c>
      <c r="H44" s="15">
        <f>E44*Assumptions!$B$8</f>
        <v>3901.9311177602845</v>
      </c>
      <c r="I44" s="15">
        <f>IF(A44&lt;=Assumptions!$B$5,Assumptions!$B$13+Assumptions!$B$14+Assumptions!$B$15+Assumptions!$B$16+IF(A44&gt;=Assumptions!$B$11,Assumptions!$B$17,0),SUM(Assumptions!$B$19:$B$24))</f>
        <v>5200</v>
      </c>
      <c r="J44" s="15">
        <f>IF(C44&gt;0,INDEX(Assumptions!$C$41:$C$45,C44),0)</f>
        <v>5000</v>
      </c>
      <c r="K44" s="15">
        <f>SUMIF(Assumptions!$B$27:$B$31,A44,Assumptions!$C$27:$C$31)</f>
        <v>0</v>
      </c>
      <c r="L44" s="15">
        <f>SUMPRODUCT((Assumptions!$E$48:$E$54&lt;=A44)*Assumptions!$F$48:$F$54)</f>
        <v>52710.833333333336</v>
      </c>
      <c r="M44" s="15">
        <f>IF(A44&lt;=Assumptions!$B$5,(I44+K44)*Assumptions!$B$10,0)</f>
        <v>0</v>
      </c>
      <c r="N44" s="15">
        <f t="shared" si="7"/>
        <v>73540.231895507895</v>
      </c>
      <c r="O44" s="15">
        <f t="shared" si="8"/>
        <v>-6265.5574513650499</v>
      </c>
      <c r="P44" s="15">
        <f t="shared" si="9"/>
        <v>-160850.61624925028</v>
      </c>
    </row>
    <row r="45" spans="1:16" x14ac:dyDescent="0.3">
      <c r="A45" s="26">
        <v>42</v>
      </c>
      <c r="B45" s="5" t="str">
        <f t="shared" si="5"/>
        <v>Year 3</v>
      </c>
      <c r="C45" s="5">
        <f t="shared" si="6"/>
        <v>3</v>
      </c>
      <c r="D45" s="27">
        <f>IF(A45=Assumptions!$B$5,1,0)+IF(AND(A45&gt;Assumptions!$B$5,C45&gt;0),INDEX(Assumptions!$C$35:$C$39,C45),0)</f>
        <v>2.5</v>
      </c>
      <c r="E45" s="27">
        <f>E44*(1-Assumptions!$B$9)+D45</f>
        <v>29.006221730992277</v>
      </c>
      <c r="F45" s="15">
        <f>E45*Assumptions!$B$6</f>
        <v>72515.554327480684</v>
      </c>
      <c r="G45" s="15">
        <f>F45*Assumptions!$B$7</f>
        <v>7251.5554327480686</v>
      </c>
      <c r="H45" s="15">
        <f>E45*Assumptions!$B$8</f>
        <v>4205.9021509938802</v>
      </c>
      <c r="I45" s="15">
        <f>IF(A45&lt;=Assumptions!$B$5,Assumptions!$B$13+Assumptions!$B$14+Assumptions!$B$15+Assumptions!$B$16+IF(A45&gt;=Assumptions!$B$11,Assumptions!$B$17,0),SUM(Assumptions!$B$19:$B$24))</f>
        <v>5200</v>
      </c>
      <c r="J45" s="15">
        <f>IF(C45&gt;0,INDEX(Assumptions!$C$41:$C$45,C45),0)</f>
        <v>5000</v>
      </c>
      <c r="K45" s="15">
        <f>SUMIF(Assumptions!$B$27:$B$31,A45,Assumptions!$C$27:$C$31)</f>
        <v>0</v>
      </c>
      <c r="L45" s="15">
        <f>SUMPRODUCT((Assumptions!$E$48:$E$54&lt;=A45)*Assumptions!$F$48:$F$54)</f>
        <v>52710.833333333336</v>
      </c>
      <c r="M45" s="15">
        <f>IF(A45&lt;=Assumptions!$B$5,(I45+K45)*Assumptions!$B$10,0)</f>
        <v>0</v>
      </c>
      <c r="N45" s="15">
        <f t="shared" si="7"/>
        <v>74368.290917075283</v>
      </c>
      <c r="O45" s="15">
        <f t="shared" si="8"/>
        <v>-1852.7365895945986</v>
      </c>
      <c r="P45" s="15">
        <f t="shared" si="9"/>
        <v>-162703.35283884488</v>
      </c>
    </row>
    <row r="46" spans="1:16" x14ac:dyDescent="0.3">
      <c r="A46" s="26">
        <v>43</v>
      </c>
      <c r="B46" s="5" t="str">
        <f t="shared" si="5"/>
        <v>Year 3</v>
      </c>
      <c r="C46" s="5">
        <f t="shared" si="6"/>
        <v>3</v>
      </c>
      <c r="D46" s="27">
        <f>IF(A46=Assumptions!$B$5,1,0)+IF(AND(A46&gt;Assumptions!$B$5,C46&gt;0),INDEX(Assumptions!$C$35:$C$39,C46),0)</f>
        <v>2.5</v>
      </c>
      <c r="E46" s="27">
        <f>E45*(1-Assumptions!$B$9)+D46</f>
        <v>31.071128405027391</v>
      </c>
      <c r="F46" s="15">
        <f>E46*Assumptions!$B$6</f>
        <v>77677.821012568471</v>
      </c>
      <c r="G46" s="15">
        <f>F46*Assumptions!$B$7</f>
        <v>7767.7821012568475</v>
      </c>
      <c r="H46" s="15">
        <f>E46*Assumptions!$B$8</f>
        <v>4505.313618728972</v>
      </c>
      <c r="I46" s="15">
        <f>IF(A46&lt;=Assumptions!$B$5,Assumptions!$B$13+Assumptions!$B$14+Assumptions!$B$15+Assumptions!$B$16+IF(A46&gt;=Assumptions!$B$11,Assumptions!$B$17,0),SUM(Assumptions!$B$19:$B$24))</f>
        <v>5200</v>
      </c>
      <c r="J46" s="15">
        <f>IF(C46&gt;0,INDEX(Assumptions!$C$41:$C$45,C46),0)</f>
        <v>5000</v>
      </c>
      <c r="K46" s="15">
        <f>SUMIF(Assumptions!$B$27:$B$31,A46,Assumptions!$C$27:$C$31)</f>
        <v>0</v>
      </c>
      <c r="L46" s="15">
        <f>SUMPRODUCT((Assumptions!$E$48:$E$54&lt;=A46)*Assumptions!$F$48:$F$54)</f>
        <v>52710.833333333336</v>
      </c>
      <c r="M46" s="15">
        <f>IF(A46&lt;=Assumptions!$B$5,(I46+K46)*Assumptions!$B$10,0)</f>
        <v>0</v>
      </c>
      <c r="N46" s="15">
        <f t="shared" si="7"/>
        <v>75183.929053319152</v>
      </c>
      <c r="O46" s="15">
        <f t="shared" si="8"/>
        <v>2493.8919592493185</v>
      </c>
      <c r="P46" s="15">
        <f t="shared" si="9"/>
        <v>-160209.46087959554</v>
      </c>
    </row>
    <row r="47" spans="1:16" x14ac:dyDescent="0.3">
      <c r="A47" s="26">
        <v>44</v>
      </c>
      <c r="B47" s="5" t="str">
        <f t="shared" si="5"/>
        <v>Year 3</v>
      </c>
      <c r="C47" s="5">
        <f t="shared" si="6"/>
        <v>3</v>
      </c>
      <c r="D47" s="27">
        <f>IF(A47=Assumptions!$B$5,1,0)+IF(AND(A47&gt;Assumptions!$B$5,C47&gt;0),INDEX(Assumptions!$C$35:$C$39,C47),0)</f>
        <v>2.5</v>
      </c>
      <c r="E47" s="27">
        <f>E46*(1-Assumptions!$B$9)+D47</f>
        <v>33.105061478951981</v>
      </c>
      <c r="F47" s="15">
        <f>E47*Assumptions!$B$6</f>
        <v>82762.653697379952</v>
      </c>
      <c r="G47" s="15">
        <f>F47*Assumptions!$B$7</f>
        <v>8276.2653697379956</v>
      </c>
      <c r="H47" s="15">
        <f>E47*Assumptions!$B$8</f>
        <v>4800.2339144480375</v>
      </c>
      <c r="I47" s="15">
        <f>IF(A47&lt;=Assumptions!$B$5,Assumptions!$B$13+Assumptions!$B$14+Assumptions!$B$15+Assumptions!$B$16+IF(A47&gt;=Assumptions!$B$11,Assumptions!$B$17,0),SUM(Assumptions!$B$19:$B$24))</f>
        <v>5200</v>
      </c>
      <c r="J47" s="15">
        <f>IF(C47&gt;0,INDEX(Assumptions!$C$41:$C$45,C47),0)</f>
        <v>5000</v>
      </c>
      <c r="K47" s="15">
        <f>SUMIF(Assumptions!$B$27:$B$31,A47,Assumptions!$C$27:$C$31)</f>
        <v>0</v>
      </c>
      <c r="L47" s="15">
        <f>SUMPRODUCT((Assumptions!$E$48:$E$54&lt;=A47)*Assumptions!$F$48:$F$54)</f>
        <v>52710.833333333336</v>
      </c>
      <c r="M47" s="15">
        <f>IF(A47&lt;=Assumptions!$B$5,(I47+K47)*Assumptions!$B$10,0)</f>
        <v>0</v>
      </c>
      <c r="N47" s="15">
        <f t="shared" si="7"/>
        <v>75987.332617519365</v>
      </c>
      <c r="O47" s="15">
        <f t="shared" si="8"/>
        <v>6775.3210798605869</v>
      </c>
      <c r="P47" s="15">
        <f t="shared" si="9"/>
        <v>-153434.13979973496</v>
      </c>
    </row>
    <row r="48" spans="1:16" x14ac:dyDescent="0.3">
      <c r="A48" s="26">
        <v>45</v>
      </c>
      <c r="B48" s="5" t="str">
        <f t="shared" si="5"/>
        <v>Year 3</v>
      </c>
      <c r="C48" s="5">
        <f t="shared" si="6"/>
        <v>3</v>
      </c>
      <c r="D48" s="27">
        <f>IF(A48=Assumptions!$B$5,1,0)+IF(AND(A48&gt;Assumptions!$B$5,C48&gt;0),INDEX(Assumptions!$C$35:$C$39,C48),0)</f>
        <v>2.5</v>
      </c>
      <c r="E48" s="27">
        <f>E47*(1-Assumptions!$B$9)+D48</f>
        <v>35.108485556767704</v>
      </c>
      <c r="F48" s="15">
        <f>E48*Assumptions!$B$6</f>
        <v>87771.213891919266</v>
      </c>
      <c r="G48" s="15">
        <f>F48*Assumptions!$B$7</f>
        <v>8777.1213891919269</v>
      </c>
      <c r="H48" s="15">
        <f>E48*Assumptions!$B$8</f>
        <v>5090.7304057313168</v>
      </c>
      <c r="I48" s="15">
        <f>IF(A48&lt;=Assumptions!$B$5,Assumptions!$B$13+Assumptions!$B$14+Assumptions!$B$15+Assumptions!$B$16+IF(A48&gt;=Assumptions!$B$11,Assumptions!$B$17,0),SUM(Assumptions!$B$19:$B$24))</f>
        <v>5200</v>
      </c>
      <c r="J48" s="15">
        <f>IF(C48&gt;0,INDEX(Assumptions!$C$41:$C$45,C48),0)</f>
        <v>5000</v>
      </c>
      <c r="K48" s="15">
        <f>SUMIF(Assumptions!$B$27:$B$31,A48,Assumptions!$C$27:$C$31)</f>
        <v>0</v>
      </c>
      <c r="L48" s="15">
        <f>SUMPRODUCT((Assumptions!$E$48:$E$54&lt;=A48)*Assumptions!$F$48:$F$54)</f>
        <v>52710.833333333336</v>
      </c>
      <c r="M48" s="15">
        <f>IF(A48&lt;=Assumptions!$B$5,(I48+K48)*Assumptions!$B$10,0)</f>
        <v>0</v>
      </c>
      <c r="N48" s="15">
        <f t="shared" si="7"/>
        <v>76778.685128256577</v>
      </c>
      <c r="O48" s="15">
        <f t="shared" si="8"/>
        <v>10992.528763662689</v>
      </c>
      <c r="P48" s="15">
        <f t="shared" si="9"/>
        <v>-142441.61103607225</v>
      </c>
    </row>
    <row r="49" spans="1:16" x14ac:dyDescent="0.3">
      <c r="A49" s="26">
        <v>46</v>
      </c>
      <c r="B49" s="5" t="str">
        <f t="shared" si="5"/>
        <v>Year 3</v>
      </c>
      <c r="C49" s="5">
        <f t="shared" si="6"/>
        <v>3</v>
      </c>
      <c r="D49" s="27">
        <f>IF(A49=Assumptions!$B$5,1,0)+IF(AND(A49&gt;Assumptions!$B$5,C49&gt;0),INDEX(Assumptions!$C$35:$C$39,C49),0)</f>
        <v>2.5</v>
      </c>
      <c r="E49" s="27">
        <f>E48*(1-Assumptions!$B$9)+D49</f>
        <v>37.081858273416188</v>
      </c>
      <c r="F49" s="15">
        <f>E49*Assumptions!$B$6</f>
        <v>92704.645683540468</v>
      </c>
      <c r="G49" s="15">
        <f>F49*Assumptions!$B$7</f>
        <v>9270.4645683540475</v>
      </c>
      <c r="H49" s="15">
        <f>E49*Assumptions!$B$8</f>
        <v>5376.8694496453472</v>
      </c>
      <c r="I49" s="15">
        <f>IF(A49&lt;=Assumptions!$B$5,Assumptions!$B$13+Assumptions!$B$14+Assumptions!$B$15+Assumptions!$B$16+IF(A49&gt;=Assumptions!$B$11,Assumptions!$B$17,0),SUM(Assumptions!$B$19:$B$24))</f>
        <v>5200</v>
      </c>
      <c r="J49" s="15">
        <f>IF(C49&gt;0,INDEX(Assumptions!$C$41:$C$45,C49),0)</f>
        <v>5000</v>
      </c>
      <c r="K49" s="15">
        <f>SUMIF(Assumptions!$B$27:$B$31,A49,Assumptions!$C$27:$C$31)</f>
        <v>0</v>
      </c>
      <c r="L49" s="15">
        <f>SUMPRODUCT((Assumptions!$E$48:$E$54&lt;=A49)*Assumptions!$F$48:$F$54)</f>
        <v>52710.833333333336</v>
      </c>
      <c r="M49" s="15">
        <f>IF(A49&lt;=Assumptions!$B$5,(I49+K49)*Assumptions!$B$10,0)</f>
        <v>0</v>
      </c>
      <c r="N49" s="15">
        <f t="shared" si="7"/>
        <v>77558.167351332726</v>
      </c>
      <c r="O49" s="15">
        <f t="shared" si="8"/>
        <v>15146.478332207742</v>
      </c>
      <c r="P49" s="15">
        <f t="shared" si="9"/>
        <v>-127295.13270386451</v>
      </c>
    </row>
    <row r="50" spans="1:16" x14ac:dyDescent="0.3">
      <c r="A50" s="26">
        <v>47</v>
      </c>
      <c r="B50" s="5" t="str">
        <f t="shared" si="5"/>
        <v>Year 3</v>
      </c>
      <c r="C50" s="5">
        <f t="shared" si="6"/>
        <v>3</v>
      </c>
      <c r="D50" s="27">
        <f>IF(A50=Assumptions!$B$5,1,0)+IF(AND(A50&gt;Assumptions!$B$5,C50&gt;0),INDEX(Assumptions!$C$35:$C$39,C50),0)</f>
        <v>2.5</v>
      </c>
      <c r="E50" s="27">
        <f>E49*(1-Assumptions!$B$9)+D50</f>
        <v>39.025630399314942</v>
      </c>
      <c r="F50" s="15">
        <f>E50*Assumptions!$B$6</f>
        <v>97564.075998287357</v>
      </c>
      <c r="G50" s="15">
        <f>F50*Assumptions!$B$7</f>
        <v>9756.4075998287353</v>
      </c>
      <c r="H50" s="15">
        <f>E50*Assumptions!$B$8</f>
        <v>5658.7164079006661</v>
      </c>
      <c r="I50" s="15">
        <f>IF(A50&lt;=Assumptions!$B$5,Assumptions!$B$13+Assumptions!$B$14+Assumptions!$B$15+Assumptions!$B$16+IF(A50&gt;=Assumptions!$B$11,Assumptions!$B$17,0),SUM(Assumptions!$B$19:$B$24))</f>
        <v>5200</v>
      </c>
      <c r="J50" s="15">
        <f>IF(C50&gt;0,INDEX(Assumptions!$C$41:$C$45,C50),0)</f>
        <v>5000</v>
      </c>
      <c r="K50" s="15">
        <f>SUMIF(Assumptions!$B$27:$B$31,A50,Assumptions!$C$27:$C$31)</f>
        <v>0</v>
      </c>
      <c r="L50" s="15">
        <f>SUMPRODUCT((Assumptions!$E$48:$E$54&lt;=A50)*Assumptions!$F$48:$F$54)</f>
        <v>52710.833333333336</v>
      </c>
      <c r="M50" s="15">
        <f>IF(A50&lt;=Assumptions!$B$5,(I50+K50)*Assumptions!$B$10,0)</f>
        <v>0</v>
      </c>
      <c r="N50" s="15">
        <f t="shared" si="7"/>
        <v>78325.957341062734</v>
      </c>
      <c r="O50" s="15">
        <f t="shared" si="8"/>
        <v>19238.118657224622</v>
      </c>
      <c r="P50" s="15">
        <f t="shared" si="9"/>
        <v>-108057.01404663989</v>
      </c>
    </row>
    <row r="51" spans="1:16" x14ac:dyDescent="0.3">
      <c r="A51" s="26">
        <v>48</v>
      </c>
      <c r="B51" s="5" t="str">
        <f t="shared" si="5"/>
        <v>Year 3</v>
      </c>
      <c r="C51" s="5">
        <f t="shared" si="6"/>
        <v>3</v>
      </c>
      <c r="D51" s="27">
        <f>IF(A51=Assumptions!$B$5,1,0)+IF(AND(A51&gt;Assumptions!$B$5,C51&gt;0),INDEX(Assumptions!$C$35:$C$39,C51),0)</f>
        <v>2.5</v>
      </c>
      <c r="E51" s="27">
        <f>E50*(1-Assumptions!$B$9)+D51</f>
        <v>40.940245943325216</v>
      </c>
      <c r="F51" s="15">
        <f>E51*Assumptions!$B$6</f>
        <v>102350.61485831304</v>
      </c>
      <c r="G51" s="15">
        <f>F51*Assumptions!$B$7</f>
        <v>10235.061485831306</v>
      </c>
      <c r="H51" s="15">
        <f>E51*Assumptions!$B$8</f>
        <v>5936.3356617821564</v>
      </c>
      <c r="I51" s="15">
        <f>IF(A51&lt;=Assumptions!$B$5,Assumptions!$B$13+Assumptions!$B$14+Assumptions!$B$15+Assumptions!$B$16+IF(A51&gt;=Assumptions!$B$11,Assumptions!$B$17,0),SUM(Assumptions!$B$19:$B$24))</f>
        <v>5200</v>
      </c>
      <c r="J51" s="15">
        <f>IF(C51&gt;0,INDEX(Assumptions!$C$41:$C$45,C51),0)</f>
        <v>5000</v>
      </c>
      <c r="K51" s="15">
        <f>SUMIF(Assumptions!$B$27:$B$31,A51,Assumptions!$C$27:$C$31)</f>
        <v>0</v>
      </c>
      <c r="L51" s="15">
        <f>SUMPRODUCT((Assumptions!$E$48:$E$54&lt;=A51)*Assumptions!$F$48:$F$54)</f>
        <v>52710.833333333336</v>
      </c>
      <c r="M51" s="15">
        <f>IF(A51&lt;=Assumptions!$B$5,(I51+K51)*Assumptions!$B$10,0)</f>
        <v>0</v>
      </c>
      <c r="N51" s="15">
        <f t="shared" si="7"/>
        <v>79082.230480946804</v>
      </c>
      <c r="O51" s="15">
        <f t="shared" si="8"/>
        <v>23268.384377366237</v>
      </c>
      <c r="P51" s="15">
        <f t="shared" si="9"/>
        <v>-84788.629669273651</v>
      </c>
    </row>
    <row r="52" spans="1:16" x14ac:dyDescent="0.3">
      <c r="A52" s="26">
        <v>49</v>
      </c>
      <c r="B52" s="5" t="str">
        <f t="shared" si="5"/>
        <v>Year 4</v>
      </c>
      <c r="C52" s="5">
        <f t="shared" si="6"/>
        <v>4</v>
      </c>
      <c r="D52" s="27">
        <f>IF(A52=Assumptions!$B$5,1,0)+IF(AND(A52&gt;Assumptions!$B$5,C52&gt;0),INDEX(Assumptions!$C$35:$C$39,C52),0)</f>
        <v>3.75</v>
      </c>
      <c r="E52" s="27">
        <f>E51*(1-Assumptions!$B$9)+D52</f>
        <v>44.076142254175338</v>
      </c>
      <c r="F52" s="15">
        <f>E52*Assumptions!$B$6</f>
        <v>110190.35563543835</v>
      </c>
      <c r="G52" s="15">
        <f>F52*Assumptions!$B$7</f>
        <v>11019.035563543835</v>
      </c>
      <c r="H52" s="15">
        <f>E52*Assumptions!$B$8</f>
        <v>6391.0406268554243</v>
      </c>
      <c r="I52" s="15">
        <f>IF(A52&lt;=Assumptions!$B$5,Assumptions!$B$13+Assumptions!$B$14+Assumptions!$B$15+Assumptions!$B$16+IF(A52&gt;=Assumptions!$B$11,Assumptions!$B$17,0),SUM(Assumptions!$B$19:$B$24))</f>
        <v>5200</v>
      </c>
      <c r="J52" s="15">
        <f>IF(C52&gt;0,INDEX(Assumptions!$C$41:$C$45,C52),0)</f>
        <v>8000</v>
      </c>
      <c r="K52" s="15">
        <f>SUMIF(Assumptions!$B$27:$B$31,A52,Assumptions!$C$27:$C$31)</f>
        <v>0</v>
      </c>
      <c r="L52" s="15">
        <f>SUMPRODUCT((Assumptions!$E$48:$E$54&lt;=A52)*Assumptions!$F$48:$F$54)</f>
        <v>100479.16666666667</v>
      </c>
      <c r="M52" s="15">
        <f>IF(A52&lt;=Assumptions!$B$5,(I52+K52)*Assumptions!$B$10,0)</f>
        <v>0</v>
      </c>
      <c r="N52" s="15">
        <f t="shared" si="7"/>
        <v>131089.24285706592</v>
      </c>
      <c r="O52" s="15">
        <f t="shared" si="8"/>
        <v>-20898.887221627578</v>
      </c>
      <c r="P52" s="15">
        <f t="shared" si="9"/>
        <v>-105687.51689090123</v>
      </c>
    </row>
    <row r="53" spans="1:16" x14ac:dyDescent="0.3">
      <c r="A53" s="26">
        <v>50</v>
      </c>
      <c r="B53" s="5" t="str">
        <f t="shared" si="5"/>
        <v>Year 4</v>
      </c>
      <c r="C53" s="5">
        <f t="shared" si="6"/>
        <v>4</v>
      </c>
      <c r="D53" s="27">
        <f>IF(A53=Assumptions!$B$5,1,0)+IF(AND(A53&gt;Assumptions!$B$5,C53&gt;0),INDEX(Assumptions!$C$35:$C$39,C53),0)</f>
        <v>3.75</v>
      </c>
      <c r="E53" s="27">
        <f>E52*(1-Assumptions!$B$9)+D53</f>
        <v>47.165000120362706</v>
      </c>
      <c r="F53" s="15">
        <f>E53*Assumptions!$B$6</f>
        <v>117912.50030090676</v>
      </c>
      <c r="G53" s="15">
        <f>F53*Assumptions!$B$7</f>
        <v>11791.250030090676</v>
      </c>
      <c r="H53" s="15">
        <f>E53*Assumptions!$B$8</f>
        <v>6838.9250174525923</v>
      </c>
      <c r="I53" s="15">
        <f>IF(A53&lt;=Assumptions!$B$5,Assumptions!$B$13+Assumptions!$B$14+Assumptions!$B$15+Assumptions!$B$16+IF(A53&gt;=Assumptions!$B$11,Assumptions!$B$17,0),SUM(Assumptions!$B$19:$B$24))</f>
        <v>5200</v>
      </c>
      <c r="J53" s="15">
        <f>IF(C53&gt;0,INDEX(Assumptions!$C$41:$C$45,C53),0)</f>
        <v>8000</v>
      </c>
      <c r="K53" s="15">
        <f>SUMIF(Assumptions!$B$27:$B$31,A53,Assumptions!$C$27:$C$31)</f>
        <v>0</v>
      </c>
      <c r="L53" s="15">
        <f>SUMPRODUCT((Assumptions!$E$48:$E$54&lt;=A53)*Assumptions!$F$48:$F$54)</f>
        <v>100479.16666666667</v>
      </c>
      <c r="M53" s="15">
        <f>IF(A53&lt;=Assumptions!$B$5,(I53+K53)*Assumptions!$B$10,0)</f>
        <v>0</v>
      </c>
      <c r="N53" s="15">
        <f t="shared" si="7"/>
        <v>132309.34171420994</v>
      </c>
      <c r="O53" s="15">
        <f t="shared" si="8"/>
        <v>-14396.841413303177</v>
      </c>
      <c r="P53" s="15">
        <f t="shared" si="9"/>
        <v>-120084.3583042044</v>
      </c>
    </row>
    <row r="54" spans="1:16" x14ac:dyDescent="0.3">
      <c r="A54" s="26">
        <v>51</v>
      </c>
      <c r="B54" s="5" t="str">
        <f t="shared" si="5"/>
        <v>Year 4</v>
      </c>
      <c r="C54" s="5">
        <f t="shared" si="6"/>
        <v>4</v>
      </c>
      <c r="D54" s="27">
        <f>IF(A54=Assumptions!$B$5,1,0)+IF(AND(A54&gt;Assumptions!$B$5,C54&gt;0),INDEX(Assumptions!$C$35:$C$39,C54),0)</f>
        <v>3.75</v>
      </c>
      <c r="E54" s="27">
        <f>E53*(1-Assumptions!$B$9)+D54</f>
        <v>50.207525118557264</v>
      </c>
      <c r="F54" s="15">
        <f>E54*Assumptions!$B$6</f>
        <v>125518.81279639316</v>
      </c>
      <c r="G54" s="15">
        <f>F54*Assumptions!$B$7</f>
        <v>12551.881279639318</v>
      </c>
      <c r="H54" s="15">
        <f>E54*Assumptions!$B$8</f>
        <v>7280.0911421908031</v>
      </c>
      <c r="I54" s="15">
        <f>IF(A54&lt;=Assumptions!$B$5,Assumptions!$B$13+Assumptions!$B$14+Assumptions!$B$15+Assumptions!$B$16+IF(A54&gt;=Assumptions!$B$11,Assumptions!$B$17,0),SUM(Assumptions!$B$19:$B$24))</f>
        <v>5200</v>
      </c>
      <c r="J54" s="15">
        <f>IF(C54&gt;0,INDEX(Assumptions!$C$41:$C$45,C54),0)</f>
        <v>8000</v>
      </c>
      <c r="K54" s="15">
        <f>SUMIF(Assumptions!$B$27:$B$31,A54,Assumptions!$C$27:$C$31)</f>
        <v>0</v>
      </c>
      <c r="L54" s="15">
        <f>SUMPRODUCT((Assumptions!$E$48:$E$54&lt;=A54)*Assumptions!$F$48:$F$54)</f>
        <v>100479.16666666667</v>
      </c>
      <c r="M54" s="15">
        <f>IF(A54&lt;=Assumptions!$B$5,(I54+K54)*Assumptions!$B$10,0)</f>
        <v>0</v>
      </c>
      <c r="N54" s="15">
        <f t="shared" si="7"/>
        <v>133511.1390884968</v>
      </c>
      <c r="O54" s="15">
        <f t="shared" si="8"/>
        <v>-7992.3262921036367</v>
      </c>
      <c r="P54" s="15">
        <f t="shared" si="9"/>
        <v>-128076.68459630804</v>
      </c>
    </row>
    <row r="55" spans="1:16" x14ac:dyDescent="0.3">
      <c r="A55" s="26">
        <v>52</v>
      </c>
      <c r="B55" s="5" t="str">
        <f t="shared" si="5"/>
        <v>Year 4</v>
      </c>
      <c r="C55" s="5">
        <f t="shared" si="6"/>
        <v>4</v>
      </c>
      <c r="D55" s="27">
        <f>IF(A55=Assumptions!$B$5,1,0)+IF(AND(A55&gt;Assumptions!$B$5,C55&gt;0),INDEX(Assumptions!$C$35:$C$39,C55),0)</f>
        <v>3.75</v>
      </c>
      <c r="E55" s="27">
        <f>E54*(1-Assumptions!$B$9)+D55</f>
        <v>53.204412241778904</v>
      </c>
      <c r="F55" s="15">
        <f>E55*Assumptions!$B$6</f>
        <v>133011.03060444727</v>
      </c>
      <c r="G55" s="15">
        <f>F55*Assumptions!$B$7</f>
        <v>13301.103060444728</v>
      </c>
      <c r="H55" s="15">
        <f>E55*Assumptions!$B$8</f>
        <v>7714.6397750579408</v>
      </c>
      <c r="I55" s="15">
        <f>IF(A55&lt;=Assumptions!$B$5,Assumptions!$B$13+Assumptions!$B$14+Assumptions!$B$15+Assumptions!$B$16+IF(A55&gt;=Assumptions!$B$11,Assumptions!$B$17,0),SUM(Assumptions!$B$19:$B$24))</f>
        <v>5200</v>
      </c>
      <c r="J55" s="15">
        <f>IF(C55&gt;0,INDEX(Assumptions!$C$41:$C$45,C55),0)</f>
        <v>8000</v>
      </c>
      <c r="K55" s="15">
        <f>SUMIF(Assumptions!$B$27:$B$31,A55,Assumptions!$C$27:$C$31)</f>
        <v>0</v>
      </c>
      <c r="L55" s="15">
        <f>SUMPRODUCT((Assumptions!$E$48:$E$54&lt;=A55)*Assumptions!$F$48:$F$54)</f>
        <v>100479.16666666667</v>
      </c>
      <c r="M55" s="15">
        <f>IF(A55&lt;=Assumptions!$B$5,(I55+K55)*Assumptions!$B$10,0)</f>
        <v>0</v>
      </c>
      <c r="N55" s="15">
        <f t="shared" si="7"/>
        <v>134694.90950216935</v>
      </c>
      <c r="O55" s="15">
        <f t="shared" si="8"/>
        <v>-1683.8788977220829</v>
      </c>
      <c r="P55" s="15">
        <f t="shared" si="9"/>
        <v>-129760.56349403012</v>
      </c>
    </row>
    <row r="56" spans="1:16" x14ac:dyDescent="0.3">
      <c r="A56" s="26">
        <v>53</v>
      </c>
      <c r="B56" s="5" t="str">
        <f t="shared" si="5"/>
        <v>Year 4</v>
      </c>
      <c r="C56" s="5">
        <f t="shared" si="6"/>
        <v>4</v>
      </c>
      <c r="D56" s="27">
        <f>IF(A56=Assumptions!$B$5,1,0)+IF(AND(A56&gt;Assumptions!$B$5,C56&gt;0),INDEX(Assumptions!$C$35:$C$39,C56),0)</f>
        <v>3.75</v>
      </c>
      <c r="E56" s="27">
        <f>E55*(1-Assumptions!$B$9)+D56</f>
        <v>56.156346058152216</v>
      </c>
      <c r="F56" s="15">
        <f>E56*Assumptions!$B$6</f>
        <v>140390.86514538055</v>
      </c>
      <c r="G56" s="15">
        <f>F56*Assumptions!$B$7</f>
        <v>14039.086514538056</v>
      </c>
      <c r="H56" s="15">
        <f>E56*Assumptions!$B$8</f>
        <v>8142.6701784320712</v>
      </c>
      <c r="I56" s="15">
        <f>IF(A56&lt;=Assumptions!$B$5,Assumptions!$B$13+Assumptions!$B$14+Assumptions!$B$15+Assumptions!$B$16+IF(A56&gt;=Assumptions!$B$11,Assumptions!$B$17,0),SUM(Assumptions!$B$19:$B$24))</f>
        <v>5200</v>
      </c>
      <c r="J56" s="15">
        <f>IF(C56&gt;0,INDEX(Assumptions!$C$41:$C$45,C56),0)</f>
        <v>8000</v>
      </c>
      <c r="K56" s="15">
        <f>SUMIF(Assumptions!$B$27:$B$31,A56,Assumptions!$C$27:$C$31)</f>
        <v>0</v>
      </c>
      <c r="L56" s="15">
        <f>SUMPRODUCT((Assumptions!$E$48:$E$54&lt;=A56)*Assumptions!$F$48:$F$54)</f>
        <v>100479.16666666667</v>
      </c>
      <c r="M56" s="15">
        <f>IF(A56&lt;=Assumptions!$B$5,(I56+K56)*Assumptions!$B$10,0)</f>
        <v>0</v>
      </c>
      <c r="N56" s="15">
        <f t="shared" si="7"/>
        <v>135860.9233596368</v>
      </c>
      <c r="O56" s="15">
        <f t="shared" si="8"/>
        <v>4529.9417857437511</v>
      </c>
      <c r="P56" s="15">
        <f t="shared" si="9"/>
        <v>-125230.62170828637</v>
      </c>
    </row>
    <row r="57" spans="1:16" x14ac:dyDescent="0.3">
      <c r="A57" s="26">
        <v>54</v>
      </c>
      <c r="B57" s="5" t="str">
        <f t="shared" si="5"/>
        <v>Year 4</v>
      </c>
      <c r="C57" s="5">
        <f t="shared" si="6"/>
        <v>4</v>
      </c>
      <c r="D57" s="27">
        <f>IF(A57=Assumptions!$B$5,1,0)+IF(AND(A57&gt;Assumptions!$B$5,C57&gt;0),INDEX(Assumptions!$C$35:$C$39,C57),0)</f>
        <v>3.75</v>
      </c>
      <c r="E57" s="27">
        <f>E56*(1-Assumptions!$B$9)+D57</f>
        <v>59.06400086727993</v>
      </c>
      <c r="F57" s="15">
        <f>E57*Assumptions!$B$6</f>
        <v>147660.00216819983</v>
      </c>
      <c r="G57" s="15">
        <f>F57*Assumptions!$B$7</f>
        <v>14766.000216819984</v>
      </c>
      <c r="H57" s="15">
        <f>E57*Assumptions!$B$8</f>
        <v>8564.2801257555893</v>
      </c>
      <c r="I57" s="15">
        <f>IF(A57&lt;=Assumptions!$B$5,Assumptions!$B$13+Assumptions!$B$14+Assumptions!$B$15+Assumptions!$B$16+IF(A57&gt;=Assumptions!$B$11,Assumptions!$B$17,0),SUM(Assumptions!$B$19:$B$24))</f>
        <v>5200</v>
      </c>
      <c r="J57" s="15">
        <f>IF(C57&gt;0,INDEX(Assumptions!$C$41:$C$45,C57),0)</f>
        <v>8000</v>
      </c>
      <c r="K57" s="15">
        <f>SUMIF(Assumptions!$B$27:$B$31,A57,Assumptions!$C$27:$C$31)</f>
        <v>0</v>
      </c>
      <c r="L57" s="15">
        <f>SUMPRODUCT((Assumptions!$E$48:$E$54&lt;=A57)*Assumptions!$F$48:$F$54)</f>
        <v>100479.16666666667</v>
      </c>
      <c r="M57" s="15">
        <f>IF(A57&lt;=Assumptions!$B$5,(I57+K57)*Assumptions!$B$10,0)</f>
        <v>0</v>
      </c>
      <c r="N57" s="15">
        <f t="shared" si="7"/>
        <v>137009.44700924226</v>
      </c>
      <c r="O57" s="15">
        <f t="shared" si="8"/>
        <v>10650.555158957577</v>
      </c>
      <c r="P57" s="15">
        <f t="shared" si="9"/>
        <v>-114580.0665493288</v>
      </c>
    </row>
    <row r="58" spans="1:16" x14ac:dyDescent="0.3">
      <c r="A58" s="26">
        <v>55</v>
      </c>
      <c r="B58" s="5" t="str">
        <f t="shared" si="5"/>
        <v>Year 4</v>
      </c>
      <c r="C58" s="5">
        <f t="shared" si="6"/>
        <v>4</v>
      </c>
      <c r="D58" s="27">
        <f>IF(A58=Assumptions!$B$5,1,0)+IF(AND(A58&gt;Assumptions!$B$5,C58&gt;0),INDEX(Assumptions!$C$35:$C$39,C58),0)</f>
        <v>3.75</v>
      </c>
      <c r="E58" s="27">
        <f>E57*(1-Assumptions!$B$9)+D58</f>
        <v>61.928040854270733</v>
      </c>
      <c r="F58" s="15">
        <f>E58*Assumptions!$B$6</f>
        <v>154820.10213567683</v>
      </c>
      <c r="G58" s="15">
        <f>F58*Assumptions!$B$7</f>
        <v>15482.010213567684</v>
      </c>
      <c r="H58" s="15">
        <f>E58*Assumptions!$B$8</f>
        <v>8979.5659238692569</v>
      </c>
      <c r="I58" s="15">
        <f>IF(A58&lt;=Assumptions!$B$5,Assumptions!$B$13+Assumptions!$B$14+Assumptions!$B$15+Assumptions!$B$16+IF(A58&gt;=Assumptions!$B$11,Assumptions!$B$17,0),SUM(Assumptions!$B$19:$B$24))</f>
        <v>5200</v>
      </c>
      <c r="J58" s="15">
        <f>IF(C58&gt;0,INDEX(Assumptions!$C$41:$C$45,C58),0)</f>
        <v>8000</v>
      </c>
      <c r="K58" s="15">
        <f>SUMIF(Assumptions!$B$27:$B$31,A58,Assumptions!$C$27:$C$31)</f>
        <v>0</v>
      </c>
      <c r="L58" s="15">
        <f>SUMPRODUCT((Assumptions!$E$48:$E$54&lt;=A58)*Assumptions!$F$48:$F$54)</f>
        <v>100479.16666666667</v>
      </c>
      <c r="M58" s="15">
        <f>IF(A58&lt;=Assumptions!$B$5,(I58+K58)*Assumptions!$B$10,0)</f>
        <v>0</v>
      </c>
      <c r="N58" s="15">
        <f t="shared" si="7"/>
        <v>138140.74280410362</v>
      </c>
      <c r="O58" s="15">
        <f t="shared" si="8"/>
        <v>16679.359331573214</v>
      </c>
      <c r="P58" s="15">
        <f t="shared" si="9"/>
        <v>-97900.707217755582</v>
      </c>
    </row>
    <row r="59" spans="1:16" x14ac:dyDescent="0.3">
      <c r="A59" s="26">
        <v>56</v>
      </c>
      <c r="B59" s="5" t="str">
        <f t="shared" si="5"/>
        <v>Year 4</v>
      </c>
      <c r="C59" s="5">
        <f t="shared" si="6"/>
        <v>4</v>
      </c>
      <c r="D59" s="27">
        <f>IF(A59=Assumptions!$B$5,1,0)+IF(AND(A59&gt;Assumptions!$B$5,C59&gt;0),INDEX(Assumptions!$C$35:$C$39,C59),0)</f>
        <v>3.75</v>
      </c>
      <c r="E59" s="27">
        <f>E58*(1-Assumptions!$B$9)+D59</f>
        <v>64.749120241456666</v>
      </c>
      <c r="F59" s="15">
        <f>E59*Assumptions!$B$6</f>
        <v>161872.80060364166</v>
      </c>
      <c r="G59" s="15">
        <f>F59*Assumptions!$B$7</f>
        <v>16187.280060364166</v>
      </c>
      <c r="H59" s="15">
        <f>E59*Assumptions!$B$8</f>
        <v>9388.622435011217</v>
      </c>
      <c r="I59" s="15">
        <f>IF(A59&lt;=Assumptions!$B$5,Assumptions!$B$13+Assumptions!$B$14+Assumptions!$B$15+Assumptions!$B$16+IF(A59&gt;=Assumptions!$B$11,Assumptions!$B$17,0),SUM(Assumptions!$B$19:$B$24))</f>
        <v>5200</v>
      </c>
      <c r="J59" s="15">
        <f>IF(C59&gt;0,INDEX(Assumptions!$C$41:$C$45,C59),0)</f>
        <v>8000</v>
      </c>
      <c r="K59" s="15">
        <f>SUMIF(Assumptions!$B$27:$B$31,A59,Assumptions!$C$27:$C$31)</f>
        <v>0</v>
      </c>
      <c r="L59" s="15">
        <f>SUMPRODUCT((Assumptions!$E$48:$E$54&lt;=A59)*Assumptions!$F$48:$F$54)</f>
        <v>100479.16666666667</v>
      </c>
      <c r="M59" s="15">
        <f>IF(A59&lt;=Assumptions!$B$5,(I59+K59)*Assumptions!$B$10,0)</f>
        <v>0</v>
      </c>
      <c r="N59" s="15">
        <f t="shared" si="7"/>
        <v>139255.06916204205</v>
      </c>
      <c r="O59" s="15">
        <f t="shared" si="8"/>
        <v>22617.731441599608</v>
      </c>
      <c r="P59" s="15">
        <f t="shared" si="9"/>
        <v>-75282.975776155974</v>
      </c>
    </row>
    <row r="60" spans="1:16" x14ac:dyDescent="0.3">
      <c r="A60" s="26">
        <v>57</v>
      </c>
      <c r="B60" s="5" t="str">
        <f t="shared" si="5"/>
        <v>Year 4</v>
      </c>
      <c r="C60" s="5">
        <f t="shared" si="6"/>
        <v>4</v>
      </c>
      <c r="D60" s="27">
        <f>IF(A60=Assumptions!$B$5,1,0)+IF(AND(A60&gt;Assumptions!$B$5,C60&gt;0),INDEX(Assumptions!$C$35:$C$39,C60),0)</f>
        <v>3.75</v>
      </c>
      <c r="E60" s="27">
        <f>E59*(1-Assumptions!$B$9)+D60</f>
        <v>67.527883437834817</v>
      </c>
      <c r="F60" s="15">
        <f>E60*Assumptions!$B$6</f>
        <v>168819.70859458705</v>
      </c>
      <c r="G60" s="15">
        <f>F60*Assumptions!$B$7</f>
        <v>16881.970859458706</v>
      </c>
      <c r="H60" s="15">
        <f>E60*Assumptions!$B$8</f>
        <v>9791.5430984860486</v>
      </c>
      <c r="I60" s="15">
        <f>IF(A60&lt;=Assumptions!$B$5,Assumptions!$B$13+Assumptions!$B$14+Assumptions!$B$15+Assumptions!$B$16+IF(A60&gt;=Assumptions!$B$11,Assumptions!$B$17,0),SUM(Assumptions!$B$19:$B$24))</f>
        <v>5200</v>
      </c>
      <c r="J60" s="15">
        <f>IF(C60&gt;0,INDEX(Assumptions!$C$41:$C$45,C60),0)</f>
        <v>8000</v>
      </c>
      <c r="K60" s="15">
        <f>SUMIF(Assumptions!$B$27:$B$31,A60,Assumptions!$C$27:$C$31)</f>
        <v>0</v>
      </c>
      <c r="L60" s="15">
        <f>SUMPRODUCT((Assumptions!$E$48:$E$54&lt;=A60)*Assumptions!$F$48:$F$54)</f>
        <v>100479.16666666667</v>
      </c>
      <c r="M60" s="15">
        <f>IF(A60&lt;=Assumptions!$B$5,(I60+K60)*Assumptions!$B$10,0)</f>
        <v>0</v>
      </c>
      <c r="N60" s="15">
        <f t="shared" si="7"/>
        <v>140352.68062461144</v>
      </c>
      <c r="O60" s="15">
        <f t="shared" si="8"/>
        <v>28467.027969975607</v>
      </c>
      <c r="P60" s="15">
        <f t="shared" si="9"/>
        <v>-46815.947806180367</v>
      </c>
    </row>
    <row r="61" spans="1:16" x14ac:dyDescent="0.3">
      <c r="A61" s="26">
        <v>58</v>
      </c>
      <c r="B61" s="5" t="str">
        <f t="shared" si="5"/>
        <v>Year 4</v>
      </c>
      <c r="C61" s="5">
        <f t="shared" si="6"/>
        <v>4</v>
      </c>
      <c r="D61" s="27">
        <f>IF(A61=Assumptions!$B$5,1,0)+IF(AND(A61&gt;Assumptions!$B$5,C61&gt;0),INDEX(Assumptions!$C$35:$C$39,C61),0)</f>
        <v>3.75</v>
      </c>
      <c r="E61" s="27">
        <f>E60*(1-Assumptions!$B$9)+D61</f>
        <v>70.26496518626729</v>
      </c>
      <c r="F61" s="15">
        <f>E61*Assumptions!$B$6</f>
        <v>175662.41296566822</v>
      </c>
      <c r="G61" s="15">
        <f>F61*Assumptions!$B$7</f>
        <v>17566.241296566823</v>
      </c>
      <c r="H61" s="15">
        <f>E61*Assumptions!$B$8</f>
        <v>10188.419952008757</v>
      </c>
      <c r="I61" s="15">
        <f>IF(A61&lt;=Assumptions!$B$5,Assumptions!$B$13+Assumptions!$B$14+Assumptions!$B$15+Assumptions!$B$16+IF(A61&gt;=Assumptions!$B$11,Assumptions!$B$17,0),SUM(Assumptions!$B$19:$B$24))</f>
        <v>5200</v>
      </c>
      <c r="J61" s="15">
        <f>IF(C61&gt;0,INDEX(Assumptions!$C$41:$C$45,C61),0)</f>
        <v>8000</v>
      </c>
      <c r="K61" s="15">
        <f>SUMIF(Assumptions!$B$27:$B$31,A61,Assumptions!$C$27:$C$31)</f>
        <v>0</v>
      </c>
      <c r="L61" s="15">
        <f>SUMPRODUCT((Assumptions!$E$48:$E$54&lt;=A61)*Assumptions!$F$48:$F$54)</f>
        <v>100479.16666666667</v>
      </c>
      <c r="M61" s="15">
        <f>IF(A61&lt;=Assumptions!$B$5,(I61+K61)*Assumptions!$B$10,0)</f>
        <v>0</v>
      </c>
      <c r="N61" s="15">
        <f t="shared" si="7"/>
        <v>141433.82791524223</v>
      </c>
      <c r="O61" s="15">
        <f t="shared" si="8"/>
        <v>34228.585050425987</v>
      </c>
      <c r="P61" s="15">
        <f t="shared" si="9"/>
        <v>-12587.36275575438</v>
      </c>
    </row>
    <row r="62" spans="1:16" x14ac:dyDescent="0.3">
      <c r="A62" s="26">
        <v>59</v>
      </c>
      <c r="B62" s="5" t="str">
        <f t="shared" si="5"/>
        <v>Year 4</v>
      </c>
      <c r="C62" s="5">
        <f t="shared" si="6"/>
        <v>4</v>
      </c>
      <c r="D62" s="27">
        <f>IF(A62=Assumptions!$B$5,1,0)+IF(AND(A62&gt;Assumptions!$B$5,C62&gt;0),INDEX(Assumptions!$C$35:$C$39,C62),0)</f>
        <v>3.75</v>
      </c>
      <c r="E62" s="27">
        <f>E61*(1-Assumptions!$B$9)+D62</f>
        <v>72.960990708473275</v>
      </c>
      <c r="F62" s="15">
        <f>E62*Assumptions!$B$6</f>
        <v>182402.4767711832</v>
      </c>
      <c r="G62" s="15">
        <f>F62*Assumptions!$B$7</f>
        <v>18240.247677118321</v>
      </c>
      <c r="H62" s="15">
        <f>E62*Assumptions!$B$8</f>
        <v>10579.343652728625</v>
      </c>
      <c r="I62" s="15">
        <f>IF(A62&lt;=Assumptions!$B$5,Assumptions!$B$13+Assumptions!$B$14+Assumptions!$B$15+Assumptions!$B$16+IF(A62&gt;=Assumptions!$B$11,Assumptions!$B$17,0),SUM(Assumptions!$B$19:$B$24))</f>
        <v>5200</v>
      </c>
      <c r="J62" s="15">
        <f>IF(C62&gt;0,INDEX(Assumptions!$C$41:$C$45,C62),0)</f>
        <v>8000</v>
      </c>
      <c r="K62" s="15">
        <f>SUMIF(Assumptions!$B$27:$B$31,A62,Assumptions!$C$27:$C$31)</f>
        <v>0</v>
      </c>
      <c r="L62" s="15">
        <f>SUMPRODUCT((Assumptions!$E$48:$E$54&lt;=A62)*Assumptions!$F$48:$F$54)</f>
        <v>100479.16666666667</v>
      </c>
      <c r="M62" s="15">
        <f>IF(A62&lt;=Assumptions!$B$5,(I62+K62)*Assumptions!$B$10,0)</f>
        <v>0</v>
      </c>
      <c r="N62" s="15">
        <f t="shared" si="7"/>
        <v>142498.75799651362</v>
      </c>
      <c r="O62" s="15">
        <f t="shared" si="8"/>
        <v>39903.718774669571</v>
      </c>
      <c r="P62" s="15">
        <f t="shared" si="9"/>
        <v>27316.35601891519</v>
      </c>
    </row>
    <row r="63" spans="1:16" x14ac:dyDescent="0.3">
      <c r="A63" s="26">
        <v>60</v>
      </c>
      <c r="B63" s="5" t="str">
        <f t="shared" si="5"/>
        <v>Year 4</v>
      </c>
      <c r="C63" s="5">
        <f t="shared" si="6"/>
        <v>4</v>
      </c>
      <c r="D63" s="27">
        <f>IF(A63=Assumptions!$B$5,1,0)+IF(AND(A63&gt;Assumptions!$B$5,C63&gt;0),INDEX(Assumptions!$C$35:$C$39,C63),0)</f>
        <v>3.75</v>
      </c>
      <c r="E63" s="27">
        <f>E62*(1-Assumptions!$B$9)+D63</f>
        <v>75.616575847846178</v>
      </c>
      <c r="F63" s="15">
        <f>E63*Assumptions!$B$6</f>
        <v>189041.43961961544</v>
      </c>
      <c r="G63" s="15">
        <f>F63*Assumptions!$B$7</f>
        <v>18904.143961961545</v>
      </c>
      <c r="H63" s="15">
        <f>E63*Assumptions!$B$8</f>
        <v>10964.403497937696</v>
      </c>
      <c r="I63" s="15">
        <f>IF(A63&lt;=Assumptions!$B$5,Assumptions!$B$13+Assumptions!$B$14+Assumptions!$B$15+Assumptions!$B$16+IF(A63&gt;=Assumptions!$B$11,Assumptions!$B$17,0),SUM(Assumptions!$B$19:$B$24))</f>
        <v>5200</v>
      </c>
      <c r="J63" s="15">
        <f>IF(C63&gt;0,INDEX(Assumptions!$C$41:$C$45,C63),0)</f>
        <v>8000</v>
      </c>
      <c r="K63" s="15">
        <f>SUMIF(Assumptions!$B$27:$B$31,A63,Assumptions!$C$27:$C$31)</f>
        <v>0</v>
      </c>
      <c r="L63" s="15">
        <f>SUMPRODUCT((Assumptions!$E$48:$E$54&lt;=A63)*Assumptions!$F$48:$F$54)</f>
        <v>100479.16666666667</v>
      </c>
      <c r="M63" s="15">
        <f>IF(A63&lt;=Assumptions!$B$5,(I63+K63)*Assumptions!$B$10,0)</f>
        <v>0</v>
      </c>
      <c r="N63" s="15">
        <f t="shared" si="7"/>
        <v>143547.7141265659</v>
      </c>
      <c r="O63" s="15">
        <f t="shared" si="8"/>
        <v>45493.72549304954</v>
      </c>
      <c r="P63" s="15">
        <f t="shared" si="9"/>
        <v>72810.08151196473</v>
      </c>
    </row>
    <row r="64" spans="1:16" x14ac:dyDescent="0.3">
      <c r="A64" s="26">
        <v>61</v>
      </c>
      <c r="B64" s="5" t="str">
        <f t="shared" si="5"/>
        <v>Year 5</v>
      </c>
      <c r="C64" s="5">
        <f t="shared" si="6"/>
        <v>5</v>
      </c>
      <c r="D64" s="27">
        <f>IF(A64=Assumptions!$B$5,1,0)+IF(AND(A64&gt;Assumptions!$B$5,C64&gt;0),INDEX(Assumptions!$C$35:$C$39,C64),0)</f>
        <v>4.33</v>
      </c>
      <c r="E64" s="27">
        <f>E63*(1-Assumptions!$B$9)+D64</f>
        <v>78.812327210128487</v>
      </c>
      <c r="F64" s="15">
        <f>E64*Assumptions!$B$6</f>
        <v>197030.8180253212</v>
      </c>
      <c r="G64" s="15">
        <f>F64*Assumptions!$B$7</f>
        <v>19703.08180253212</v>
      </c>
      <c r="H64" s="15">
        <f>E64*Assumptions!$B$8</f>
        <v>11427.78744546863</v>
      </c>
      <c r="I64" s="15">
        <f>IF(A64&lt;=Assumptions!$B$5,Assumptions!$B$13+Assumptions!$B$14+Assumptions!$B$15+Assumptions!$B$16+IF(A64&gt;=Assumptions!$B$11,Assumptions!$B$17,0),SUM(Assumptions!$B$19:$B$24))</f>
        <v>5200</v>
      </c>
      <c r="J64" s="15">
        <f>IF(C64&gt;0,INDEX(Assumptions!$C$41:$C$45,C64),0)</f>
        <v>12000</v>
      </c>
      <c r="K64" s="15">
        <f>SUMIF(Assumptions!$B$27:$B$31,A64,Assumptions!$C$27:$C$31)</f>
        <v>0</v>
      </c>
      <c r="L64" s="15">
        <f>SUMPRODUCT((Assumptions!$E$48:$E$54&lt;=A64)*Assumptions!$F$48:$F$54)</f>
        <v>138190</v>
      </c>
      <c r="M64" s="15">
        <f>IF(A64&lt;=Assumptions!$B$5,(I64+K64)*Assumptions!$B$10,0)</f>
        <v>0</v>
      </c>
      <c r="N64" s="15">
        <f t="shared" si="7"/>
        <v>186520.86924800076</v>
      </c>
      <c r="O64" s="15">
        <f t="shared" si="8"/>
        <v>10509.948777320446</v>
      </c>
      <c r="P64" s="15">
        <f t="shared" si="9"/>
        <v>83320.030289285176</v>
      </c>
    </row>
    <row r="65" spans="1:16" x14ac:dyDescent="0.3">
      <c r="A65" s="26">
        <v>62</v>
      </c>
      <c r="B65" s="5" t="str">
        <f t="shared" si="5"/>
        <v>Year 5</v>
      </c>
      <c r="C65" s="5">
        <f t="shared" si="6"/>
        <v>5</v>
      </c>
      <c r="D65" s="27">
        <f>IF(A65=Assumptions!$B$5,1,0)+IF(AND(A65&gt;Assumptions!$B$5,C65&gt;0),INDEX(Assumptions!$C$35:$C$39,C65),0)</f>
        <v>4.33</v>
      </c>
      <c r="E65" s="27">
        <f>E64*(1-Assumptions!$B$9)+D65</f>
        <v>81.96014230197656</v>
      </c>
      <c r="F65" s="15">
        <f>E65*Assumptions!$B$6</f>
        <v>204900.35575494141</v>
      </c>
      <c r="G65" s="15">
        <f>F65*Assumptions!$B$7</f>
        <v>20490.035575494141</v>
      </c>
      <c r="H65" s="15">
        <f>E65*Assumptions!$B$8</f>
        <v>11884.220633786601</v>
      </c>
      <c r="I65" s="15">
        <f>IF(A65&lt;=Assumptions!$B$5,Assumptions!$B$13+Assumptions!$B$14+Assumptions!$B$15+Assumptions!$B$16+IF(A65&gt;=Assumptions!$B$11,Assumptions!$B$17,0),SUM(Assumptions!$B$19:$B$24))</f>
        <v>5200</v>
      </c>
      <c r="J65" s="15">
        <f>IF(C65&gt;0,INDEX(Assumptions!$C$41:$C$45,C65),0)</f>
        <v>12000</v>
      </c>
      <c r="K65" s="15">
        <f>SUMIF(Assumptions!$B$27:$B$31,A65,Assumptions!$C$27:$C$31)</f>
        <v>0</v>
      </c>
      <c r="L65" s="15">
        <f>SUMPRODUCT((Assumptions!$E$48:$E$54&lt;=A65)*Assumptions!$F$48:$F$54)</f>
        <v>138190</v>
      </c>
      <c r="M65" s="15">
        <f>IF(A65&lt;=Assumptions!$B$5,(I65+K65)*Assumptions!$B$10,0)</f>
        <v>0</v>
      </c>
      <c r="N65" s="15">
        <f t="shared" si="7"/>
        <v>187764.25620928075</v>
      </c>
      <c r="O65" s="15">
        <f t="shared" si="8"/>
        <v>17136.099545660662</v>
      </c>
      <c r="P65" s="15">
        <f t="shared" si="9"/>
        <v>100456.12983494584</v>
      </c>
    </row>
    <row r="66" spans="1:16" x14ac:dyDescent="0.3">
      <c r="A66" s="26">
        <v>63</v>
      </c>
      <c r="B66" s="5" t="str">
        <f t="shared" si="5"/>
        <v>Year 5</v>
      </c>
      <c r="C66" s="5">
        <f t="shared" si="6"/>
        <v>5</v>
      </c>
      <c r="D66" s="27">
        <f>IF(A66=Assumptions!$B$5,1,0)+IF(AND(A66&gt;Assumptions!$B$5,C66&gt;0),INDEX(Assumptions!$C$35:$C$39,C66),0)</f>
        <v>4.33</v>
      </c>
      <c r="E66" s="27">
        <f>E65*(1-Assumptions!$B$9)+D66</f>
        <v>85.060740167446909</v>
      </c>
      <c r="F66" s="15">
        <f>E66*Assumptions!$B$6</f>
        <v>212651.85041861728</v>
      </c>
      <c r="G66" s="15">
        <f>F66*Assumptions!$B$7</f>
        <v>21265.185041861729</v>
      </c>
      <c r="H66" s="15">
        <f>E66*Assumptions!$B$8</f>
        <v>12333.807324279802</v>
      </c>
      <c r="I66" s="15">
        <f>IF(A66&lt;=Assumptions!$B$5,Assumptions!$B$13+Assumptions!$B$14+Assumptions!$B$15+Assumptions!$B$16+IF(A66&gt;=Assumptions!$B$11,Assumptions!$B$17,0),SUM(Assumptions!$B$19:$B$24))</f>
        <v>5200</v>
      </c>
      <c r="J66" s="15">
        <f>IF(C66&gt;0,INDEX(Assumptions!$C$41:$C$45,C66),0)</f>
        <v>12000</v>
      </c>
      <c r="K66" s="15">
        <f>SUMIF(Assumptions!$B$27:$B$31,A66,Assumptions!$C$27:$C$31)</f>
        <v>0</v>
      </c>
      <c r="L66" s="15">
        <f>SUMPRODUCT((Assumptions!$E$48:$E$54&lt;=A66)*Assumptions!$F$48:$F$54)</f>
        <v>138190</v>
      </c>
      <c r="M66" s="15">
        <f>IF(A66&lt;=Assumptions!$B$5,(I66+K66)*Assumptions!$B$10,0)</f>
        <v>0</v>
      </c>
      <c r="N66" s="15">
        <f t="shared" si="7"/>
        <v>188988.99236614152</v>
      </c>
      <c r="O66" s="15">
        <f t="shared" si="8"/>
        <v>23662.858052475756</v>
      </c>
      <c r="P66" s="15">
        <f t="shared" si="9"/>
        <v>124118.98788742159</v>
      </c>
    </row>
    <row r="67" spans="1:16" x14ac:dyDescent="0.3">
      <c r="A67" s="26">
        <v>64</v>
      </c>
      <c r="B67" s="5" t="str">
        <f t="shared" si="5"/>
        <v>Year 5</v>
      </c>
      <c r="C67" s="5">
        <f t="shared" si="6"/>
        <v>5</v>
      </c>
      <c r="D67" s="27">
        <f>IF(A67=Assumptions!$B$5,1,0)+IF(AND(A67&gt;Assumptions!$B$5,C67&gt;0),INDEX(Assumptions!$C$35:$C$39,C67),0)</f>
        <v>4.33</v>
      </c>
      <c r="E67" s="27">
        <f>E66*(1-Assumptions!$B$9)+D67</f>
        <v>88.114829064935208</v>
      </c>
      <c r="F67" s="15">
        <f>E67*Assumptions!$B$6</f>
        <v>220287.07266233803</v>
      </c>
      <c r="G67" s="15">
        <f>F67*Assumptions!$B$7</f>
        <v>22028.707266233803</v>
      </c>
      <c r="H67" s="15">
        <f>E67*Assumptions!$B$8</f>
        <v>12776.650214415606</v>
      </c>
      <c r="I67" s="15">
        <f>IF(A67&lt;=Assumptions!$B$5,Assumptions!$B$13+Assumptions!$B$14+Assumptions!$B$15+Assumptions!$B$16+IF(A67&gt;=Assumptions!$B$11,Assumptions!$B$17,0),SUM(Assumptions!$B$19:$B$24))</f>
        <v>5200</v>
      </c>
      <c r="J67" s="15">
        <f>IF(C67&gt;0,INDEX(Assumptions!$C$41:$C$45,C67),0)</f>
        <v>12000</v>
      </c>
      <c r="K67" s="15">
        <f>SUMIF(Assumptions!$B$27:$B$31,A67,Assumptions!$C$27:$C$31)</f>
        <v>0</v>
      </c>
      <c r="L67" s="15">
        <f>SUMPRODUCT((Assumptions!$E$48:$E$54&lt;=A67)*Assumptions!$F$48:$F$54)</f>
        <v>138190</v>
      </c>
      <c r="M67" s="15">
        <f>IF(A67&lt;=Assumptions!$B$5,(I67+K67)*Assumptions!$B$10,0)</f>
        <v>0</v>
      </c>
      <c r="N67" s="15">
        <f t="shared" si="7"/>
        <v>190195.3574806494</v>
      </c>
      <c r="O67" s="15">
        <f t="shared" si="8"/>
        <v>30091.715181688633</v>
      </c>
      <c r="P67" s="15">
        <f t="shared" si="9"/>
        <v>154210.70306911023</v>
      </c>
    </row>
    <row r="68" spans="1:16" x14ac:dyDescent="0.3">
      <c r="A68" s="26">
        <v>65</v>
      </c>
      <c r="B68" s="5" t="str">
        <f t="shared" ref="B68:B99" si="10">"Year "&amp;INT((A68-1)/12)</f>
        <v>Year 5</v>
      </c>
      <c r="C68" s="5">
        <f t="shared" ref="C68:C75" si="11">IF(A68&lt;=12,0,INT((A68-13)/12)+1)</f>
        <v>5</v>
      </c>
      <c r="D68" s="27">
        <f>IF(A68=Assumptions!$B$5,1,0)+IF(AND(A68&gt;Assumptions!$B$5,C68&gt;0),INDEX(Assumptions!$C$35:$C$39,C68),0)</f>
        <v>4.33</v>
      </c>
      <c r="E68" s="27">
        <f>E67*(1-Assumptions!$B$9)+D68</f>
        <v>91.123106628961182</v>
      </c>
      <c r="F68" s="15">
        <f>E68*Assumptions!$B$6</f>
        <v>227807.76657240296</v>
      </c>
      <c r="G68" s="15">
        <f>F68*Assumptions!$B$7</f>
        <v>22780.776657240298</v>
      </c>
      <c r="H68" s="15">
        <f>E68*Assumptions!$B$8</f>
        <v>13212.850461199372</v>
      </c>
      <c r="I68" s="15">
        <f>IF(A68&lt;=Assumptions!$B$5,Assumptions!$B$13+Assumptions!$B$14+Assumptions!$B$15+Assumptions!$B$16+IF(A68&gt;=Assumptions!$B$11,Assumptions!$B$17,0),SUM(Assumptions!$B$19:$B$24))</f>
        <v>5200</v>
      </c>
      <c r="J68" s="15">
        <f>IF(C68&gt;0,INDEX(Assumptions!$C$41:$C$45,C68),0)</f>
        <v>12000</v>
      </c>
      <c r="K68" s="15">
        <f>SUMIF(Assumptions!$B$27:$B$31,A68,Assumptions!$C$27:$C$31)</f>
        <v>0</v>
      </c>
      <c r="L68" s="15">
        <f>SUMPRODUCT((Assumptions!$E$48:$E$54&lt;=A68)*Assumptions!$F$48:$F$54)</f>
        <v>138190</v>
      </c>
      <c r="M68" s="15">
        <f>IF(A68&lt;=Assumptions!$B$5,(I68+K68)*Assumptions!$B$10,0)</f>
        <v>0</v>
      </c>
      <c r="N68" s="15">
        <f t="shared" ref="N68:N99" si="12">SUM(G68:M68)</f>
        <v>191383.62711843968</v>
      </c>
      <c r="O68" s="15">
        <f t="shared" ref="O68:O99" si="13">F68-N68</f>
        <v>36424.139453963289</v>
      </c>
      <c r="P68" s="15">
        <f t="shared" si="9"/>
        <v>190634.84252307352</v>
      </c>
    </row>
    <row r="69" spans="1:16" x14ac:dyDescent="0.3">
      <c r="A69" s="26">
        <v>66</v>
      </c>
      <c r="B69" s="5" t="str">
        <f t="shared" si="10"/>
        <v>Year 5</v>
      </c>
      <c r="C69" s="5">
        <f t="shared" si="11"/>
        <v>5</v>
      </c>
      <c r="D69" s="27">
        <f>IF(A69=Assumptions!$B$5,1,0)+IF(AND(A69&gt;Assumptions!$B$5,C69&gt;0),INDEX(Assumptions!$C$35:$C$39,C69),0)</f>
        <v>4.33</v>
      </c>
      <c r="E69" s="27">
        <f>E68*(1-Assumptions!$B$9)+D69</f>
        <v>94.086260029526755</v>
      </c>
      <c r="F69" s="15">
        <f>E69*Assumptions!$B$6</f>
        <v>235215.65007381688</v>
      </c>
      <c r="G69" s="15">
        <f>F69*Assumptions!$B$7</f>
        <v>23521.565007381691</v>
      </c>
      <c r="H69" s="15">
        <f>E69*Assumptions!$B$8</f>
        <v>13642.507704281379</v>
      </c>
      <c r="I69" s="15">
        <f>IF(A69&lt;=Assumptions!$B$5,Assumptions!$B$13+Assumptions!$B$14+Assumptions!$B$15+Assumptions!$B$16+IF(A69&gt;=Assumptions!$B$11,Assumptions!$B$17,0),SUM(Assumptions!$B$19:$B$24))</f>
        <v>5200</v>
      </c>
      <c r="J69" s="15">
        <f>IF(C69&gt;0,INDEX(Assumptions!$C$41:$C$45,C69),0)</f>
        <v>12000</v>
      </c>
      <c r="K69" s="15">
        <f>SUMIF(Assumptions!$B$27:$B$31,A69,Assumptions!$C$27:$C$31)</f>
        <v>0</v>
      </c>
      <c r="L69" s="15">
        <f>SUMPRODUCT((Assumptions!$E$48:$E$54&lt;=A69)*Assumptions!$F$48:$F$54)</f>
        <v>138190</v>
      </c>
      <c r="M69" s="15">
        <f>IF(A69&lt;=Assumptions!$B$5,(I69+K69)*Assumptions!$B$10,0)</f>
        <v>0</v>
      </c>
      <c r="N69" s="15">
        <f t="shared" si="12"/>
        <v>192554.07271166309</v>
      </c>
      <c r="O69" s="15">
        <f t="shared" si="13"/>
        <v>42661.577362153796</v>
      </c>
      <c r="P69" s="15">
        <f t="shared" ref="P69:P100" si="14">P68+O69</f>
        <v>233296.41988522731</v>
      </c>
    </row>
    <row r="70" spans="1:16" x14ac:dyDescent="0.3">
      <c r="A70" s="26">
        <v>67</v>
      </c>
      <c r="B70" s="5" t="str">
        <f t="shared" si="10"/>
        <v>Year 5</v>
      </c>
      <c r="C70" s="5">
        <f t="shared" si="11"/>
        <v>5</v>
      </c>
      <c r="D70" s="27">
        <f>IF(A70=Assumptions!$B$5,1,0)+IF(AND(A70&gt;Assumptions!$B$5,C70&gt;0),INDEX(Assumptions!$C$35:$C$39,C70),0)</f>
        <v>4.33</v>
      </c>
      <c r="E70" s="27">
        <f>E69*(1-Assumptions!$B$9)+D70</f>
        <v>97.004966129083854</v>
      </c>
      <c r="F70" s="15">
        <f>E70*Assumptions!$B$6</f>
        <v>242512.41532270962</v>
      </c>
      <c r="G70" s="15">
        <f>F70*Assumptions!$B$7</f>
        <v>24251.241532270964</v>
      </c>
      <c r="H70" s="15">
        <f>E70*Assumptions!$B$8</f>
        <v>14065.720088717158</v>
      </c>
      <c r="I70" s="15">
        <f>IF(A70&lt;=Assumptions!$B$5,Assumptions!$B$13+Assumptions!$B$14+Assumptions!$B$15+Assumptions!$B$16+IF(A70&gt;=Assumptions!$B$11,Assumptions!$B$17,0),SUM(Assumptions!$B$19:$B$24))</f>
        <v>5200</v>
      </c>
      <c r="J70" s="15">
        <f>IF(C70&gt;0,INDEX(Assumptions!$C$41:$C$45,C70),0)</f>
        <v>12000</v>
      </c>
      <c r="K70" s="15">
        <f>SUMIF(Assumptions!$B$27:$B$31,A70,Assumptions!$C$27:$C$31)</f>
        <v>0</v>
      </c>
      <c r="L70" s="15">
        <f>SUMPRODUCT((Assumptions!$E$48:$E$54&lt;=A70)*Assumptions!$F$48:$F$54)</f>
        <v>138190</v>
      </c>
      <c r="M70" s="15">
        <f>IF(A70&lt;=Assumptions!$B$5,(I70+K70)*Assumptions!$B$10,0)</f>
        <v>0</v>
      </c>
      <c r="N70" s="15">
        <f t="shared" si="12"/>
        <v>193706.96162098812</v>
      </c>
      <c r="O70" s="15">
        <f t="shared" si="13"/>
        <v>48805.453701721504</v>
      </c>
      <c r="P70" s="15">
        <f t="shared" si="14"/>
        <v>282101.87358694884</v>
      </c>
    </row>
    <row r="71" spans="1:16" x14ac:dyDescent="0.3">
      <c r="A71" s="26">
        <v>68</v>
      </c>
      <c r="B71" s="5" t="str">
        <f t="shared" si="10"/>
        <v>Year 5</v>
      </c>
      <c r="C71" s="5">
        <f t="shared" si="11"/>
        <v>5</v>
      </c>
      <c r="D71" s="27">
        <f>IF(A71=Assumptions!$B$5,1,0)+IF(AND(A71&gt;Assumptions!$B$5,C71&gt;0),INDEX(Assumptions!$C$35:$C$39,C71),0)</f>
        <v>4.33</v>
      </c>
      <c r="E71" s="27">
        <f>E70*(1-Assumptions!$B$9)+D71</f>
        <v>99.879891637147594</v>
      </c>
      <c r="F71" s="15">
        <f>E71*Assumptions!$B$6</f>
        <v>249699.72909286898</v>
      </c>
      <c r="G71" s="15">
        <f>F71*Assumptions!$B$7</f>
        <v>24969.972909286898</v>
      </c>
      <c r="H71" s="15">
        <f>E71*Assumptions!$B$8</f>
        <v>14482.5842873864</v>
      </c>
      <c r="I71" s="15">
        <f>IF(A71&lt;=Assumptions!$B$5,Assumptions!$B$13+Assumptions!$B$14+Assumptions!$B$15+Assumptions!$B$16+IF(A71&gt;=Assumptions!$B$11,Assumptions!$B$17,0),SUM(Assumptions!$B$19:$B$24))</f>
        <v>5200</v>
      </c>
      <c r="J71" s="15">
        <f>IF(C71&gt;0,INDEX(Assumptions!$C$41:$C$45,C71),0)</f>
        <v>12000</v>
      </c>
      <c r="K71" s="15">
        <f>SUMIF(Assumptions!$B$27:$B$31,A71,Assumptions!$C$27:$C$31)</f>
        <v>0</v>
      </c>
      <c r="L71" s="15">
        <f>SUMPRODUCT((Assumptions!$E$48:$E$54&lt;=A71)*Assumptions!$F$48:$F$54)</f>
        <v>138190</v>
      </c>
      <c r="M71" s="15">
        <f>IF(A71&lt;=Assumptions!$B$5,(I71+K71)*Assumptions!$B$10,0)</f>
        <v>0</v>
      </c>
      <c r="N71" s="15">
        <f t="shared" si="12"/>
        <v>194842.5571966733</v>
      </c>
      <c r="O71" s="15">
        <f t="shared" si="13"/>
        <v>54857.171896195679</v>
      </c>
      <c r="P71" s="15">
        <f t="shared" si="14"/>
        <v>336959.04548314452</v>
      </c>
    </row>
    <row r="72" spans="1:16" x14ac:dyDescent="0.3">
      <c r="A72" s="26">
        <v>69</v>
      </c>
      <c r="B72" s="5" t="str">
        <f t="shared" si="10"/>
        <v>Year 5</v>
      </c>
      <c r="C72" s="5">
        <f t="shared" si="11"/>
        <v>5</v>
      </c>
      <c r="D72" s="27">
        <f>IF(A72=Assumptions!$B$5,1,0)+IF(AND(A72&gt;Assumptions!$B$5,C72&gt;0),INDEX(Assumptions!$C$35:$C$39,C72),0)</f>
        <v>4.33</v>
      </c>
      <c r="E72" s="27">
        <f>E71*(1-Assumptions!$B$9)+D72</f>
        <v>102.71169326259037</v>
      </c>
      <c r="F72" s="15">
        <f>E72*Assumptions!$B$6</f>
        <v>256779.23315647594</v>
      </c>
      <c r="G72" s="15">
        <f>F72*Assumptions!$B$7</f>
        <v>25677.923315647597</v>
      </c>
      <c r="H72" s="15">
        <f>E72*Assumptions!$B$8</f>
        <v>14893.195523075605</v>
      </c>
      <c r="I72" s="15">
        <f>IF(A72&lt;=Assumptions!$B$5,Assumptions!$B$13+Assumptions!$B$14+Assumptions!$B$15+Assumptions!$B$16+IF(A72&gt;=Assumptions!$B$11,Assumptions!$B$17,0),SUM(Assumptions!$B$19:$B$24))</f>
        <v>5200</v>
      </c>
      <c r="J72" s="15">
        <f>IF(C72&gt;0,INDEX(Assumptions!$C$41:$C$45,C72),0)</f>
        <v>12000</v>
      </c>
      <c r="K72" s="15">
        <f>SUMIF(Assumptions!$B$27:$B$31,A72,Assumptions!$C$27:$C$31)</f>
        <v>0</v>
      </c>
      <c r="L72" s="15">
        <f>SUMPRODUCT((Assumptions!$E$48:$E$54&lt;=A72)*Assumptions!$F$48:$F$54)</f>
        <v>138190</v>
      </c>
      <c r="M72" s="15">
        <f>IF(A72&lt;=Assumptions!$B$5,(I72+K72)*Assumptions!$B$10,0)</f>
        <v>0</v>
      </c>
      <c r="N72" s="15">
        <f t="shared" si="12"/>
        <v>195961.1188387232</v>
      </c>
      <c r="O72" s="15">
        <f t="shared" si="13"/>
        <v>60818.114317752741</v>
      </c>
      <c r="P72" s="15">
        <f t="shared" si="14"/>
        <v>397777.15980089724</v>
      </c>
    </row>
    <row r="73" spans="1:16" x14ac:dyDescent="0.3">
      <c r="A73" s="26">
        <v>70</v>
      </c>
      <c r="B73" s="5" t="str">
        <f t="shared" si="10"/>
        <v>Year 5</v>
      </c>
      <c r="C73" s="5">
        <f t="shared" si="11"/>
        <v>5</v>
      </c>
      <c r="D73" s="27">
        <f>IF(A73=Assumptions!$B$5,1,0)+IF(AND(A73&gt;Assumptions!$B$5,C73&gt;0),INDEX(Assumptions!$C$35:$C$39,C73),0)</f>
        <v>4.33</v>
      </c>
      <c r="E73" s="27">
        <f>E72*(1-Assumptions!$B$9)+D73</f>
        <v>105.50101786365151</v>
      </c>
      <c r="F73" s="15">
        <f>E73*Assumptions!$B$6</f>
        <v>263752.54465912876</v>
      </c>
      <c r="G73" s="15">
        <f>F73*Assumptions!$B$7</f>
        <v>26375.254465912876</v>
      </c>
      <c r="H73" s="15">
        <f>E73*Assumptions!$B$8</f>
        <v>15297.64759022947</v>
      </c>
      <c r="I73" s="15">
        <f>IF(A73&lt;=Assumptions!$B$5,Assumptions!$B$13+Assumptions!$B$14+Assumptions!$B$15+Assumptions!$B$16+IF(A73&gt;=Assumptions!$B$11,Assumptions!$B$17,0),SUM(Assumptions!$B$19:$B$24))</f>
        <v>5200</v>
      </c>
      <c r="J73" s="15">
        <f>IF(C73&gt;0,INDEX(Assumptions!$C$41:$C$45,C73),0)</f>
        <v>12000</v>
      </c>
      <c r="K73" s="15">
        <f>SUMIF(Assumptions!$B$27:$B$31,A73,Assumptions!$C$27:$C$31)</f>
        <v>0</v>
      </c>
      <c r="L73" s="15">
        <f>SUMPRODUCT((Assumptions!$E$48:$E$54&lt;=A73)*Assumptions!$F$48:$F$54)</f>
        <v>138190</v>
      </c>
      <c r="M73" s="15">
        <f>IF(A73&lt;=Assumptions!$B$5,(I73+K73)*Assumptions!$B$10,0)</f>
        <v>0</v>
      </c>
      <c r="N73" s="15">
        <f t="shared" si="12"/>
        <v>197062.90205614234</v>
      </c>
      <c r="O73" s="15">
        <f t="shared" si="13"/>
        <v>66689.642602986423</v>
      </c>
      <c r="P73" s="15">
        <f t="shared" si="14"/>
        <v>464466.80240388366</v>
      </c>
    </row>
    <row r="74" spans="1:16" x14ac:dyDescent="0.3">
      <c r="A74" s="26">
        <v>71</v>
      </c>
      <c r="B74" s="5" t="str">
        <f t="shared" si="10"/>
        <v>Year 5</v>
      </c>
      <c r="C74" s="5">
        <f t="shared" si="11"/>
        <v>5</v>
      </c>
      <c r="D74" s="27">
        <f>IF(A74=Assumptions!$B$5,1,0)+IF(AND(A74&gt;Assumptions!$B$5,C74&gt;0),INDEX(Assumptions!$C$35:$C$39,C74),0)</f>
        <v>4.33</v>
      </c>
      <c r="E74" s="27">
        <f>E73*(1-Assumptions!$B$9)+D74</f>
        <v>108.24850259569673</v>
      </c>
      <c r="F74" s="15">
        <f>E74*Assumptions!$B$6</f>
        <v>270621.25648924184</v>
      </c>
      <c r="G74" s="15">
        <f>F74*Assumptions!$B$7</f>
        <v>27062.125648924186</v>
      </c>
      <c r="H74" s="15">
        <f>E74*Assumptions!$B$8</f>
        <v>15696.032876376026</v>
      </c>
      <c r="I74" s="15">
        <f>IF(A74&lt;=Assumptions!$B$5,Assumptions!$B$13+Assumptions!$B$14+Assumptions!$B$15+Assumptions!$B$16+IF(A74&gt;=Assumptions!$B$11,Assumptions!$B$17,0),SUM(Assumptions!$B$19:$B$24))</f>
        <v>5200</v>
      </c>
      <c r="J74" s="15">
        <f>IF(C74&gt;0,INDEX(Assumptions!$C$41:$C$45,C74),0)</f>
        <v>12000</v>
      </c>
      <c r="K74" s="15">
        <f>SUMIF(Assumptions!$B$27:$B$31,A74,Assumptions!$C$27:$C$31)</f>
        <v>0</v>
      </c>
      <c r="L74" s="15">
        <f>SUMPRODUCT((Assumptions!$E$48:$E$54&lt;=A74)*Assumptions!$F$48:$F$54)</f>
        <v>138190</v>
      </c>
      <c r="M74" s="15">
        <f>IF(A74&lt;=Assumptions!$B$5,(I74+K74)*Assumptions!$B$10,0)</f>
        <v>0</v>
      </c>
      <c r="N74" s="15">
        <f t="shared" si="12"/>
        <v>198148.15852530021</v>
      </c>
      <c r="O74" s="15">
        <f t="shared" si="13"/>
        <v>72473.097963941633</v>
      </c>
      <c r="P74" s="15">
        <f t="shared" si="14"/>
        <v>536939.90036782529</v>
      </c>
    </row>
    <row r="75" spans="1:16" x14ac:dyDescent="0.3">
      <c r="A75" s="26">
        <v>72</v>
      </c>
      <c r="B75" s="5" t="str">
        <f t="shared" si="10"/>
        <v>Year 5</v>
      </c>
      <c r="C75" s="5">
        <f t="shared" si="11"/>
        <v>5</v>
      </c>
      <c r="D75" s="27">
        <f>IF(A75=Assumptions!$B$5,1,0)+IF(AND(A75&gt;Assumptions!$B$5,C75&gt;0),INDEX(Assumptions!$C$35:$C$39,C75),0)</f>
        <v>4.33</v>
      </c>
      <c r="E75" s="27">
        <f>E74*(1-Assumptions!$B$9)+D75</f>
        <v>110.95477505676128</v>
      </c>
      <c r="F75" s="15">
        <f>E75*Assumptions!$B$6</f>
        <v>277386.93764190318</v>
      </c>
      <c r="G75" s="15">
        <f>F75*Assumptions!$B$7</f>
        <v>27738.693764190321</v>
      </c>
      <c r="H75" s="15">
        <f>E75*Assumptions!$B$8</f>
        <v>16088.442383230386</v>
      </c>
      <c r="I75" s="15">
        <f>IF(A75&lt;=Assumptions!$B$5,Assumptions!$B$13+Assumptions!$B$14+Assumptions!$B$15+Assumptions!$B$16+IF(A75&gt;=Assumptions!$B$11,Assumptions!$B$17,0),SUM(Assumptions!$B$19:$B$24))</f>
        <v>5200</v>
      </c>
      <c r="J75" s="15">
        <f>IF(C75&gt;0,INDEX(Assumptions!$C$41:$C$45,C75),0)</f>
        <v>12000</v>
      </c>
      <c r="K75" s="15">
        <f>SUMIF(Assumptions!$B$27:$B$31,A75,Assumptions!$C$27:$C$31)</f>
        <v>0</v>
      </c>
      <c r="L75" s="15">
        <f>SUMPRODUCT((Assumptions!$E$48:$E$54&lt;=A75)*Assumptions!$F$48:$F$54)</f>
        <v>138190</v>
      </c>
      <c r="M75" s="15">
        <f>IF(A75&lt;=Assumptions!$B$5,(I75+K75)*Assumptions!$B$10,0)</f>
        <v>0</v>
      </c>
      <c r="N75" s="15">
        <f t="shared" si="12"/>
        <v>199217.13614742071</v>
      </c>
      <c r="O75" s="15">
        <f t="shared" si="13"/>
        <v>78169.801494482468</v>
      </c>
      <c r="P75" s="15">
        <f t="shared" si="14"/>
        <v>615109.70186230773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6" width="13" customWidth="1"/>
  </cols>
  <sheetData>
    <row r="1" spans="1:16" ht="17.399999999999999" x14ac:dyDescent="0.3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1.95" customHeight="1" x14ac:dyDescent="0.3">
      <c r="A3" s="25" t="s">
        <v>71</v>
      </c>
      <c r="B3" s="25" t="s">
        <v>15</v>
      </c>
      <c r="C3" s="25" t="s">
        <v>116</v>
      </c>
      <c r="D3" s="25" t="s">
        <v>117</v>
      </c>
      <c r="E3" s="25" t="s">
        <v>118</v>
      </c>
      <c r="F3" s="25" t="s">
        <v>119</v>
      </c>
      <c r="G3" s="25" t="s">
        <v>120</v>
      </c>
      <c r="H3" s="25" t="s">
        <v>121</v>
      </c>
      <c r="I3" s="25" t="s">
        <v>122</v>
      </c>
      <c r="J3" s="25" t="s">
        <v>123</v>
      </c>
      <c r="K3" s="25" t="s">
        <v>124</v>
      </c>
      <c r="L3" s="25" t="s">
        <v>125</v>
      </c>
      <c r="M3" s="25" t="s">
        <v>126</v>
      </c>
      <c r="N3" s="25" t="s">
        <v>127</v>
      </c>
      <c r="O3" s="25" t="s">
        <v>128</v>
      </c>
      <c r="P3" s="25" t="s">
        <v>129</v>
      </c>
    </row>
    <row r="4" spans="1:16" x14ac:dyDescent="0.3">
      <c r="A4" s="26">
        <v>1</v>
      </c>
      <c r="B4" s="5" t="str">
        <f t="shared" ref="B4:B35" si="0">"Year "&amp;INT((A4-1)/12)</f>
        <v>Year 0</v>
      </c>
      <c r="C4" s="5">
        <f t="shared" ref="C4:C35" si="1">IF(A4&lt;=12,0,INT((A4-13)/12)+1)</f>
        <v>0</v>
      </c>
      <c r="D4" s="27">
        <f>IF(A4=Assumptions!$B$5,1,0)+IF(AND(A4&gt;Assumptions!$B$5,C4&gt;0),INDEX(Assumptions!$B$35:$B$39,C4),0)</f>
        <v>0</v>
      </c>
      <c r="E4" s="27">
        <f>0*(1-Assumptions!$B$9)+D4</f>
        <v>0</v>
      </c>
      <c r="F4" s="15">
        <f>E4*Assumptions!$B$6</f>
        <v>0</v>
      </c>
      <c r="G4" s="15">
        <f>F4*Assumptions!$B$7</f>
        <v>0</v>
      </c>
      <c r="H4" s="15">
        <f>E4*Assumptions!$B$8</f>
        <v>0</v>
      </c>
      <c r="I4" s="15">
        <f>IF(A4&lt;=Assumptions!$B$5,Assumptions!$B$13+Assumptions!$B$14+Assumptions!$B$15+Assumptions!$B$16+IF(A4&gt;=Assumptions!$B$11,Assumptions!$B$17,0),SUM(Assumptions!$B$19:$B$24))</f>
        <v>1600</v>
      </c>
      <c r="J4" s="15">
        <f>IF(C4&gt;0,INDEX(Assumptions!$C$41:$C$45,C4),0)</f>
        <v>0</v>
      </c>
      <c r="K4" s="15">
        <f>SUMIF(Assumptions!$B$27:$B$31,A4,Assumptions!$C$27:$C$31)</f>
        <v>400</v>
      </c>
      <c r="L4" s="15">
        <f>SUMPRODUCT((Assumptions!$E$48:$E$54&lt;=A4)*Assumptions!$F$48:$F$54)</f>
        <v>0</v>
      </c>
      <c r="M4" s="15">
        <f>IF(A4&lt;=Assumptions!$B$5,(I4+K4)*Assumptions!$B$10,0)</f>
        <v>200</v>
      </c>
      <c r="N4" s="15">
        <f t="shared" ref="N4:N35" si="2">SUM(G4:M4)</f>
        <v>2200</v>
      </c>
      <c r="O4" s="15">
        <f t="shared" ref="O4:O35" si="3">F4-N4</f>
        <v>-2200</v>
      </c>
      <c r="P4" s="15">
        <f>0+O4</f>
        <v>-2200</v>
      </c>
    </row>
    <row r="5" spans="1:16" x14ac:dyDescent="0.3">
      <c r="A5" s="26">
        <v>2</v>
      </c>
      <c r="B5" s="5" t="str">
        <f t="shared" si="0"/>
        <v>Year 0</v>
      </c>
      <c r="C5" s="5">
        <f t="shared" si="1"/>
        <v>0</v>
      </c>
      <c r="D5" s="27">
        <f>IF(A5=Assumptions!$B$5,1,0)+IF(AND(A5&gt;Assumptions!$B$5,C5&gt;0),INDEX(Assumptions!$B$35:$B$39,C5),0)</f>
        <v>0</v>
      </c>
      <c r="E5" s="27">
        <f>E4*(1-Assumptions!$B$9)+D5</f>
        <v>0</v>
      </c>
      <c r="F5" s="15">
        <f>E5*Assumptions!$B$6</f>
        <v>0</v>
      </c>
      <c r="G5" s="15">
        <f>F5*Assumptions!$B$7</f>
        <v>0</v>
      </c>
      <c r="H5" s="15">
        <f>E5*Assumptions!$B$8</f>
        <v>0</v>
      </c>
      <c r="I5" s="15">
        <f>IF(A5&lt;=Assumptions!$B$5,Assumptions!$B$13+Assumptions!$B$14+Assumptions!$B$15+Assumptions!$B$16+IF(A5&gt;=Assumptions!$B$11,Assumptions!$B$17,0),SUM(Assumptions!$B$19:$B$24))</f>
        <v>1600</v>
      </c>
      <c r="J5" s="15">
        <f>IF(C5&gt;0,INDEX(Assumptions!$C$41:$C$45,C5),0)</f>
        <v>0</v>
      </c>
      <c r="K5" s="15">
        <f>SUMIF(Assumptions!$B$27:$B$31,A5,Assumptions!$C$27:$C$31)</f>
        <v>0</v>
      </c>
      <c r="L5" s="15">
        <f>SUMPRODUCT((Assumptions!$E$48:$E$54&lt;=A5)*Assumptions!$F$48:$F$54)</f>
        <v>0</v>
      </c>
      <c r="M5" s="15">
        <f>IF(A5&lt;=Assumptions!$B$5,(I5+K5)*Assumptions!$B$10,0)</f>
        <v>160</v>
      </c>
      <c r="N5" s="15">
        <f t="shared" si="2"/>
        <v>1760</v>
      </c>
      <c r="O5" s="15">
        <f t="shared" si="3"/>
        <v>-1760</v>
      </c>
      <c r="P5" s="15">
        <f t="shared" ref="P5:P36" si="4">P4+O5</f>
        <v>-3960</v>
      </c>
    </row>
    <row r="6" spans="1:16" x14ac:dyDescent="0.3">
      <c r="A6" s="26">
        <v>3</v>
      </c>
      <c r="B6" s="5" t="str">
        <f t="shared" si="0"/>
        <v>Year 0</v>
      </c>
      <c r="C6" s="5">
        <f t="shared" si="1"/>
        <v>0</v>
      </c>
      <c r="D6" s="27">
        <f>IF(A6=Assumptions!$B$5,1,0)+IF(AND(A6&gt;Assumptions!$B$5,C6&gt;0),INDEX(Assumptions!$B$35:$B$39,C6),0)</f>
        <v>0</v>
      </c>
      <c r="E6" s="27">
        <f>E5*(1-Assumptions!$B$9)+D6</f>
        <v>0</v>
      </c>
      <c r="F6" s="15">
        <f>E6*Assumptions!$B$6</f>
        <v>0</v>
      </c>
      <c r="G6" s="15">
        <f>F6*Assumptions!$B$7</f>
        <v>0</v>
      </c>
      <c r="H6" s="15">
        <f>E6*Assumptions!$B$8</f>
        <v>0</v>
      </c>
      <c r="I6" s="15">
        <f>IF(A6&lt;=Assumptions!$B$5,Assumptions!$B$13+Assumptions!$B$14+Assumptions!$B$15+Assumptions!$B$16+IF(A6&gt;=Assumptions!$B$11,Assumptions!$B$17,0),SUM(Assumptions!$B$19:$B$24))</f>
        <v>1600</v>
      </c>
      <c r="J6" s="15">
        <f>IF(C6&gt;0,INDEX(Assumptions!$C$41:$C$45,C6),0)</f>
        <v>0</v>
      </c>
      <c r="K6" s="15">
        <f>SUMIF(Assumptions!$B$27:$B$31,A6,Assumptions!$C$27:$C$31)</f>
        <v>10000</v>
      </c>
      <c r="L6" s="15">
        <f>SUMPRODUCT((Assumptions!$E$48:$E$54&lt;=A6)*Assumptions!$F$48:$F$54)</f>
        <v>0</v>
      </c>
      <c r="M6" s="15">
        <f>IF(A6&lt;=Assumptions!$B$5,(I6+K6)*Assumptions!$B$10,0)</f>
        <v>1160</v>
      </c>
      <c r="N6" s="15">
        <f t="shared" si="2"/>
        <v>12760</v>
      </c>
      <c r="O6" s="15">
        <f t="shared" si="3"/>
        <v>-12760</v>
      </c>
      <c r="P6" s="15">
        <f t="shared" si="4"/>
        <v>-16720</v>
      </c>
    </row>
    <row r="7" spans="1:16" x14ac:dyDescent="0.3">
      <c r="A7" s="26">
        <v>4</v>
      </c>
      <c r="B7" s="5" t="str">
        <f t="shared" si="0"/>
        <v>Year 0</v>
      </c>
      <c r="C7" s="5">
        <f t="shared" si="1"/>
        <v>0</v>
      </c>
      <c r="D7" s="27">
        <f>IF(A7=Assumptions!$B$5,1,0)+IF(AND(A7&gt;Assumptions!$B$5,C7&gt;0),INDEX(Assumptions!$B$35:$B$39,C7),0)</f>
        <v>0</v>
      </c>
      <c r="E7" s="27">
        <f>E6*(1-Assumptions!$B$9)+D7</f>
        <v>0</v>
      </c>
      <c r="F7" s="15">
        <f>E7*Assumptions!$B$6</f>
        <v>0</v>
      </c>
      <c r="G7" s="15">
        <f>F7*Assumptions!$B$7</f>
        <v>0</v>
      </c>
      <c r="H7" s="15">
        <f>E7*Assumptions!$B$8</f>
        <v>0</v>
      </c>
      <c r="I7" s="15">
        <f>IF(A7&lt;=Assumptions!$B$5,Assumptions!$B$13+Assumptions!$B$14+Assumptions!$B$15+Assumptions!$B$16+IF(A7&gt;=Assumptions!$B$11,Assumptions!$B$17,0),SUM(Assumptions!$B$19:$B$24))</f>
        <v>1600</v>
      </c>
      <c r="J7" s="15">
        <f>IF(C7&gt;0,INDEX(Assumptions!$C$41:$C$45,C7),0)</f>
        <v>0</v>
      </c>
      <c r="K7" s="15">
        <f>SUMIF(Assumptions!$B$27:$B$31,A7,Assumptions!$C$27:$C$31)</f>
        <v>0</v>
      </c>
      <c r="L7" s="15">
        <f>SUMPRODUCT((Assumptions!$E$48:$E$54&lt;=A7)*Assumptions!$F$48:$F$54)</f>
        <v>0</v>
      </c>
      <c r="M7" s="15">
        <f>IF(A7&lt;=Assumptions!$B$5,(I7+K7)*Assumptions!$B$10,0)</f>
        <v>160</v>
      </c>
      <c r="N7" s="15">
        <f t="shared" si="2"/>
        <v>1760</v>
      </c>
      <c r="O7" s="15">
        <f t="shared" si="3"/>
        <v>-1760</v>
      </c>
      <c r="P7" s="15">
        <f t="shared" si="4"/>
        <v>-18480</v>
      </c>
    </row>
    <row r="8" spans="1:16" x14ac:dyDescent="0.3">
      <c r="A8" s="26">
        <v>5</v>
      </c>
      <c r="B8" s="5" t="str">
        <f t="shared" si="0"/>
        <v>Year 0</v>
      </c>
      <c r="C8" s="5">
        <f t="shared" si="1"/>
        <v>0</v>
      </c>
      <c r="D8" s="27">
        <f>IF(A8=Assumptions!$B$5,1,0)+IF(AND(A8&gt;Assumptions!$B$5,C8&gt;0),INDEX(Assumptions!$B$35:$B$39,C8),0)</f>
        <v>0</v>
      </c>
      <c r="E8" s="27">
        <f>E7*(1-Assumptions!$B$9)+D8</f>
        <v>0</v>
      </c>
      <c r="F8" s="15">
        <f>E8*Assumptions!$B$6</f>
        <v>0</v>
      </c>
      <c r="G8" s="15">
        <f>F8*Assumptions!$B$7</f>
        <v>0</v>
      </c>
      <c r="H8" s="15">
        <f>E8*Assumptions!$B$8</f>
        <v>0</v>
      </c>
      <c r="I8" s="15">
        <f>IF(A8&lt;=Assumptions!$B$5,Assumptions!$B$13+Assumptions!$B$14+Assumptions!$B$15+Assumptions!$B$16+IF(A8&gt;=Assumptions!$B$11,Assumptions!$B$17,0),SUM(Assumptions!$B$19:$B$24))</f>
        <v>1600</v>
      </c>
      <c r="J8" s="15">
        <f>IF(C8&gt;0,INDEX(Assumptions!$C$41:$C$45,C8),0)</f>
        <v>0</v>
      </c>
      <c r="K8" s="15">
        <f>SUMIF(Assumptions!$B$27:$B$31,A8,Assumptions!$C$27:$C$31)</f>
        <v>0</v>
      </c>
      <c r="L8" s="15">
        <f>SUMPRODUCT((Assumptions!$E$48:$E$54&lt;=A8)*Assumptions!$F$48:$F$54)</f>
        <v>0</v>
      </c>
      <c r="M8" s="15">
        <f>IF(A8&lt;=Assumptions!$B$5,(I8+K8)*Assumptions!$B$10,0)</f>
        <v>160</v>
      </c>
      <c r="N8" s="15">
        <f t="shared" si="2"/>
        <v>1760</v>
      </c>
      <c r="O8" s="15">
        <f t="shared" si="3"/>
        <v>-1760</v>
      </c>
      <c r="P8" s="15">
        <f t="shared" si="4"/>
        <v>-20240</v>
      </c>
    </row>
    <row r="9" spans="1:16" x14ac:dyDescent="0.3">
      <c r="A9" s="26">
        <v>6</v>
      </c>
      <c r="B9" s="5" t="str">
        <f t="shared" si="0"/>
        <v>Year 0</v>
      </c>
      <c r="C9" s="5">
        <f t="shared" si="1"/>
        <v>0</v>
      </c>
      <c r="D9" s="27">
        <f>IF(A9=Assumptions!$B$5,1,0)+IF(AND(A9&gt;Assumptions!$B$5,C9&gt;0),INDEX(Assumptions!$B$35:$B$39,C9),0)</f>
        <v>0</v>
      </c>
      <c r="E9" s="27">
        <f>E8*(1-Assumptions!$B$9)+D9</f>
        <v>0</v>
      </c>
      <c r="F9" s="15">
        <f>E9*Assumptions!$B$6</f>
        <v>0</v>
      </c>
      <c r="G9" s="15">
        <f>F9*Assumptions!$B$7</f>
        <v>0</v>
      </c>
      <c r="H9" s="15">
        <f>E9*Assumptions!$B$8</f>
        <v>0</v>
      </c>
      <c r="I9" s="15">
        <f>IF(A9&lt;=Assumptions!$B$5,Assumptions!$B$13+Assumptions!$B$14+Assumptions!$B$15+Assumptions!$B$16+IF(A9&gt;=Assumptions!$B$11,Assumptions!$B$17,0),SUM(Assumptions!$B$19:$B$24))</f>
        <v>1600</v>
      </c>
      <c r="J9" s="15">
        <f>IF(C9&gt;0,INDEX(Assumptions!$C$41:$C$45,C9),0)</f>
        <v>0</v>
      </c>
      <c r="K9" s="15">
        <f>SUMIF(Assumptions!$B$27:$B$31,A9,Assumptions!$C$27:$C$31)</f>
        <v>0</v>
      </c>
      <c r="L9" s="15">
        <f>SUMPRODUCT((Assumptions!$E$48:$E$54&lt;=A9)*Assumptions!$F$48:$F$54)</f>
        <v>0</v>
      </c>
      <c r="M9" s="15">
        <f>IF(A9&lt;=Assumptions!$B$5,(I9+K9)*Assumptions!$B$10,0)</f>
        <v>160</v>
      </c>
      <c r="N9" s="15">
        <f t="shared" si="2"/>
        <v>1760</v>
      </c>
      <c r="O9" s="15">
        <f t="shared" si="3"/>
        <v>-1760</v>
      </c>
      <c r="P9" s="15">
        <f t="shared" si="4"/>
        <v>-22000</v>
      </c>
    </row>
    <row r="10" spans="1:16" x14ac:dyDescent="0.3">
      <c r="A10" s="26">
        <v>7</v>
      </c>
      <c r="B10" s="5" t="str">
        <f t="shared" si="0"/>
        <v>Year 0</v>
      </c>
      <c r="C10" s="5">
        <f t="shared" si="1"/>
        <v>0</v>
      </c>
      <c r="D10" s="27">
        <f>IF(A10=Assumptions!$B$5,1,0)+IF(AND(A10&gt;Assumptions!$B$5,C10&gt;0),INDEX(Assumptions!$B$35:$B$39,C10),0)</f>
        <v>0</v>
      </c>
      <c r="E10" s="27">
        <f>E9*(1-Assumptions!$B$9)+D10</f>
        <v>0</v>
      </c>
      <c r="F10" s="15">
        <f>E10*Assumptions!$B$6</f>
        <v>0</v>
      </c>
      <c r="G10" s="15">
        <f>F10*Assumptions!$B$7</f>
        <v>0</v>
      </c>
      <c r="H10" s="15">
        <f>E10*Assumptions!$B$8</f>
        <v>0</v>
      </c>
      <c r="I10" s="15">
        <f>IF(A10&lt;=Assumptions!$B$5,Assumptions!$B$13+Assumptions!$B$14+Assumptions!$B$15+Assumptions!$B$16+IF(A10&gt;=Assumptions!$B$11,Assumptions!$B$17,0),SUM(Assumptions!$B$19:$B$24))</f>
        <v>1600</v>
      </c>
      <c r="J10" s="15">
        <f>IF(C10&gt;0,INDEX(Assumptions!$C$41:$C$45,C10),0)</f>
        <v>0</v>
      </c>
      <c r="K10" s="15">
        <f>SUMIF(Assumptions!$B$27:$B$31,A10,Assumptions!$C$27:$C$31)</f>
        <v>0</v>
      </c>
      <c r="L10" s="15">
        <f>SUMPRODUCT((Assumptions!$E$48:$E$54&lt;=A10)*Assumptions!$F$48:$F$54)</f>
        <v>0</v>
      </c>
      <c r="M10" s="15">
        <f>IF(A10&lt;=Assumptions!$B$5,(I10+K10)*Assumptions!$B$10,0)</f>
        <v>160</v>
      </c>
      <c r="N10" s="15">
        <f t="shared" si="2"/>
        <v>1760</v>
      </c>
      <c r="O10" s="15">
        <f t="shared" si="3"/>
        <v>-1760</v>
      </c>
      <c r="P10" s="15">
        <f t="shared" si="4"/>
        <v>-23760</v>
      </c>
    </row>
    <row r="11" spans="1:16" x14ac:dyDescent="0.3">
      <c r="A11" s="26">
        <v>8</v>
      </c>
      <c r="B11" s="5" t="str">
        <f t="shared" si="0"/>
        <v>Year 0</v>
      </c>
      <c r="C11" s="5">
        <f t="shared" si="1"/>
        <v>0</v>
      </c>
      <c r="D11" s="27">
        <f>IF(A11=Assumptions!$B$5,1,0)+IF(AND(A11&gt;Assumptions!$B$5,C11&gt;0),INDEX(Assumptions!$B$35:$B$39,C11),0)</f>
        <v>0</v>
      </c>
      <c r="E11" s="27">
        <f>E10*(1-Assumptions!$B$9)+D11</f>
        <v>0</v>
      </c>
      <c r="F11" s="15">
        <f>E11*Assumptions!$B$6</f>
        <v>0</v>
      </c>
      <c r="G11" s="15">
        <f>F11*Assumptions!$B$7</f>
        <v>0</v>
      </c>
      <c r="H11" s="15">
        <f>E11*Assumptions!$B$8</f>
        <v>0</v>
      </c>
      <c r="I11" s="15">
        <f>IF(A11&lt;=Assumptions!$B$5,Assumptions!$B$13+Assumptions!$B$14+Assumptions!$B$15+Assumptions!$B$16+IF(A11&gt;=Assumptions!$B$11,Assumptions!$B$17,0),SUM(Assumptions!$B$19:$B$24))</f>
        <v>1600</v>
      </c>
      <c r="J11" s="15">
        <f>IF(C11&gt;0,INDEX(Assumptions!$C$41:$C$45,C11),0)</f>
        <v>0</v>
      </c>
      <c r="K11" s="15">
        <f>SUMIF(Assumptions!$B$27:$B$31,A11,Assumptions!$C$27:$C$31)</f>
        <v>0</v>
      </c>
      <c r="L11" s="15">
        <f>SUMPRODUCT((Assumptions!$E$48:$E$54&lt;=A11)*Assumptions!$F$48:$F$54)</f>
        <v>0</v>
      </c>
      <c r="M11" s="15">
        <f>IF(A11&lt;=Assumptions!$B$5,(I11+K11)*Assumptions!$B$10,0)</f>
        <v>160</v>
      </c>
      <c r="N11" s="15">
        <f t="shared" si="2"/>
        <v>1760</v>
      </c>
      <c r="O11" s="15">
        <f t="shared" si="3"/>
        <v>-1760</v>
      </c>
      <c r="P11" s="15">
        <f t="shared" si="4"/>
        <v>-25520</v>
      </c>
    </row>
    <row r="12" spans="1:16" x14ac:dyDescent="0.3">
      <c r="A12" s="26">
        <v>9</v>
      </c>
      <c r="B12" s="5" t="str">
        <f t="shared" si="0"/>
        <v>Year 0</v>
      </c>
      <c r="C12" s="5">
        <f t="shared" si="1"/>
        <v>0</v>
      </c>
      <c r="D12" s="27">
        <f>IF(A12=Assumptions!$B$5,1,0)+IF(AND(A12&gt;Assumptions!$B$5,C12&gt;0),INDEX(Assumptions!$B$35:$B$39,C12),0)</f>
        <v>0</v>
      </c>
      <c r="E12" s="27">
        <f>E11*(1-Assumptions!$B$9)+D12</f>
        <v>0</v>
      </c>
      <c r="F12" s="15">
        <f>E12*Assumptions!$B$6</f>
        <v>0</v>
      </c>
      <c r="G12" s="15">
        <f>F12*Assumptions!$B$7</f>
        <v>0</v>
      </c>
      <c r="H12" s="15">
        <f>E12*Assumptions!$B$8</f>
        <v>0</v>
      </c>
      <c r="I12" s="15">
        <f>IF(A12&lt;=Assumptions!$B$5,Assumptions!$B$13+Assumptions!$B$14+Assumptions!$B$15+Assumptions!$B$16+IF(A12&gt;=Assumptions!$B$11,Assumptions!$B$17,0),SUM(Assumptions!$B$19:$B$24))</f>
        <v>2500</v>
      </c>
      <c r="J12" s="15">
        <f>IF(C12&gt;0,INDEX(Assumptions!$C$41:$C$45,C12),0)</f>
        <v>0</v>
      </c>
      <c r="K12" s="15">
        <f>SUMIF(Assumptions!$B$27:$B$31,A12,Assumptions!$C$27:$C$31)</f>
        <v>11500</v>
      </c>
      <c r="L12" s="15">
        <f>SUMPRODUCT((Assumptions!$E$48:$E$54&lt;=A12)*Assumptions!$F$48:$F$54)</f>
        <v>0</v>
      </c>
      <c r="M12" s="15">
        <f>IF(A12&lt;=Assumptions!$B$5,(I12+K12)*Assumptions!$B$10,0)</f>
        <v>1400</v>
      </c>
      <c r="N12" s="15">
        <f t="shared" si="2"/>
        <v>15400</v>
      </c>
      <c r="O12" s="15">
        <f t="shared" si="3"/>
        <v>-15400</v>
      </c>
      <c r="P12" s="15">
        <f t="shared" si="4"/>
        <v>-40920</v>
      </c>
    </row>
    <row r="13" spans="1:16" x14ac:dyDescent="0.3">
      <c r="A13" s="26">
        <v>10</v>
      </c>
      <c r="B13" s="5" t="str">
        <f t="shared" si="0"/>
        <v>Year 0</v>
      </c>
      <c r="C13" s="5">
        <f t="shared" si="1"/>
        <v>0</v>
      </c>
      <c r="D13" s="27">
        <f>IF(A13=Assumptions!$B$5,1,0)+IF(AND(A13&gt;Assumptions!$B$5,C13&gt;0),INDEX(Assumptions!$B$35:$B$39,C13),0)</f>
        <v>0</v>
      </c>
      <c r="E13" s="27">
        <f>E12*(1-Assumptions!$B$9)+D13</f>
        <v>0</v>
      </c>
      <c r="F13" s="15">
        <f>E13*Assumptions!$B$6</f>
        <v>0</v>
      </c>
      <c r="G13" s="15">
        <f>F13*Assumptions!$B$7</f>
        <v>0</v>
      </c>
      <c r="H13" s="15">
        <f>E13*Assumptions!$B$8</f>
        <v>0</v>
      </c>
      <c r="I13" s="15">
        <f>IF(A13&lt;=Assumptions!$B$5,Assumptions!$B$13+Assumptions!$B$14+Assumptions!$B$15+Assumptions!$B$16+IF(A13&gt;=Assumptions!$B$11,Assumptions!$B$17,0),SUM(Assumptions!$B$19:$B$24))</f>
        <v>2500</v>
      </c>
      <c r="J13" s="15">
        <f>IF(C13&gt;0,INDEX(Assumptions!$C$41:$C$45,C13),0)</f>
        <v>0</v>
      </c>
      <c r="K13" s="15">
        <f>SUMIF(Assumptions!$B$27:$B$31,A13,Assumptions!$C$27:$C$31)</f>
        <v>7500</v>
      </c>
      <c r="L13" s="15">
        <f>SUMPRODUCT((Assumptions!$E$48:$E$54&lt;=A13)*Assumptions!$F$48:$F$54)</f>
        <v>0</v>
      </c>
      <c r="M13" s="15">
        <f>IF(A13&lt;=Assumptions!$B$5,(I13+K13)*Assumptions!$B$10,0)</f>
        <v>1000</v>
      </c>
      <c r="N13" s="15">
        <f t="shared" si="2"/>
        <v>11000</v>
      </c>
      <c r="O13" s="15">
        <f t="shared" si="3"/>
        <v>-11000</v>
      </c>
      <c r="P13" s="15">
        <f t="shared" si="4"/>
        <v>-51920</v>
      </c>
    </row>
    <row r="14" spans="1:16" x14ac:dyDescent="0.3">
      <c r="A14" s="26">
        <v>11</v>
      </c>
      <c r="B14" s="5" t="str">
        <f t="shared" si="0"/>
        <v>Year 0</v>
      </c>
      <c r="C14" s="5">
        <f t="shared" si="1"/>
        <v>0</v>
      </c>
      <c r="D14" s="27">
        <f>IF(A14=Assumptions!$B$5,1,0)+IF(AND(A14&gt;Assumptions!$B$5,C14&gt;0),INDEX(Assumptions!$B$35:$B$39,C14),0)</f>
        <v>0</v>
      </c>
      <c r="E14" s="27">
        <f>E13*(1-Assumptions!$B$9)+D14</f>
        <v>0</v>
      </c>
      <c r="F14" s="15">
        <f>E14*Assumptions!$B$6</f>
        <v>0</v>
      </c>
      <c r="G14" s="15">
        <f>F14*Assumptions!$B$7</f>
        <v>0</v>
      </c>
      <c r="H14" s="15">
        <f>E14*Assumptions!$B$8</f>
        <v>0</v>
      </c>
      <c r="I14" s="15">
        <f>IF(A14&lt;=Assumptions!$B$5,Assumptions!$B$13+Assumptions!$B$14+Assumptions!$B$15+Assumptions!$B$16+IF(A14&gt;=Assumptions!$B$11,Assumptions!$B$17,0),SUM(Assumptions!$B$19:$B$24))</f>
        <v>2500</v>
      </c>
      <c r="J14" s="15">
        <f>IF(C14&gt;0,INDEX(Assumptions!$C$41:$C$45,C14),0)</f>
        <v>0</v>
      </c>
      <c r="K14" s="15">
        <f>SUMIF(Assumptions!$B$27:$B$31,A14,Assumptions!$C$27:$C$31)</f>
        <v>0</v>
      </c>
      <c r="L14" s="15">
        <f>SUMPRODUCT((Assumptions!$E$48:$E$54&lt;=A14)*Assumptions!$F$48:$F$54)</f>
        <v>0</v>
      </c>
      <c r="M14" s="15">
        <f>IF(A14&lt;=Assumptions!$B$5,(I14+K14)*Assumptions!$B$10,0)</f>
        <v>250</v>
      </c>
      <c r="N14" s="15">
        <f t="shared" si="2"/>
        <v>2750</v>
      </c>
      <c r="O14" s="15">
        <f t="shared" si="3"/>
        <v>-2750</v>
      </c>
      <c r="P14" s="15">
        <f t="shared" si="4"/>
        <v>-54670</v>
      </c>
    </row>
    <row r="15" spans="1:16" x14ac:dyDescent="0.3">
      <c r="A15" s="26">
        <v>12</v>
      </c>
      <c r="B15" s="5" t="str">
        <f t="shared" si="0"/>
        <v>Year 0</v>
      </c>
      <c r="C15" s="5">
        <f t="shared" si="1"/>
        <v>0</v>
      </c>
      <c r="D15" s="27">
        <f>IF(A15=Assumptions!$B$5,1,0)+IF(AND(A15&gt;Assumptions!$B$5,C15&gt;0),INDEX(Assumptions!$B$35:$B$39,C15),0)</f>
        <v>1</v>
      </c>
      <c r="E15" s="27">
        <f>E14*(1-Assumptions!$B$9)+D15</f>
        <v>1</v>
      </c>
      <c r="F15" s="15">
        <f>E15*Assumptions!$B$6</f>
        <v>2500</v>
      </c>
      <c r="G15" s="15">
        <f>F15*Assumptions!$B$7</f>
        <v>250</v>
      </c>
      <c r="H15" s="15">
        <f>E15*Assumptions!$B$8</f>
        <v>145</v>
      </c>
      <c r="I15" s="15">
        <f>IF(A15&lt;=Assumptions!$B$5,Assumptions!$B$13+Assumptions!$B$14+Assumptions!$B$15+Assumptions!$B$16+IF(A15&gt;=Assumptions!$B$11,Assumptions!$B$17,0),SUM(Assumptions!$B$19:$B$24))</f>
        <v>2500</v>
      </c>
      <c r="J15" s="15">
        <f>IF(C15&gt;0,INDEX(Assumptions!$C$41:$C$45,C15),0)</f>
        <v>0</v>
      </c>
      <c r="K15" s="15">
        <f>SUMIF(Assumptions!$B$27:$B$31,A15,Assumptions!$C$27:$C$31)</f>
        <v>0</v>
      </c>
      <c r="L15" s="15">
        <f>SUMPRODUCT((Assumptions!$E$48:$E$54&lt;=A15)*Assumptions!$F$48:$F$54)</f>
        <v>0</v>
      </c>
      <c r="M15" s="15">
        <f>IF(A15&lt;=Assumptions!$B$5,(I15+K15)*Assumptions!$B$10,0)</f>
        <v>250</v>
      </c>
      <c r="N15" s="15">
        <f t="shared" si="2"/>
        <v>3145</v>
      </c>
      <c r="O15" s="15">
        <f t="shared" si="3"/>
        <v>-645</v>
      </c>
      <c r="P15" s="15">
        <f t="shared" si="4"/>
        <v>-55315</v>
      </c>
    </row>
    <row r="16" spans="1:16" x14ac:dyDescent="0.3">
      <c r="A16" s="26">
        <v>13</v>
      </c>
      <c r="B16" s="5" t="str">
        <f t="shared" si="0"/>
        <v>Year 1</v>
      </c>
      <c r="C16" s="5">
        <f t="shared" si="1"/>
        <v>1</v>
      </c>
      <c r="D16" s="27">
        <f>IF(A16=Assumptions!$B$5,1,0)+IF(AND(A16&gt;Assumptions!$B$5,C16&gt;0),INDEX(Assumptions!$B$35:$B$39,C16),0)</f>
        <v>0.5</v>
      </c>
      <c r="E16" s="27">
        <f>E15*(1-Assumptions!$B$9)+D16</f>
        <v>1.4849999999999999</v>
      </c>
      <c r="F16" s="15">
        <f>E16*Assumptions!$B$6</f>
        <v>3712.4999999999995</v>
      </c>
      <c r="G16" s="15">
        <f>F16*Assumptions!$B$7</f>
        <v>371.25</v>
      </c>
      <c r="H16" s="15">
        <f>E16*Assumptions!$B$8</f>
        <v>215.32499999999999</v>
      </c>
      <c r="I16" s="15">
        <f>IF(A16&lt;=Assumptions!$B$5,Assumptions!$B$13+Assumptions!$B$14+Assumptions!$B$15+Assumptions!$B$16+IF(A16&gt;=Assumptions!$B$11,Assumptions!$B$17,0),SUM(Assumptions!$B$19:$B$24))</f>
        <v>5200</v>
      </c>
      <c r="J16" s="15">
        <f>IF(C16&gt;0,INDEX(Assumptions!$C$41:$C$45,C16),0)</f>
        <v>0</v>
      </c>
      <c r="K16" s="15">
        <f>SUMIF(Assumptions!$B$27:$B$31,A16,Assumptions!$C$27:$C$31)</f>
        <v>0</v>
      </c>
      <c r="L16" s="15">
        <f>SUMPRODUCT((Assumptions!$E$48:$E$54&lt;=A16)*Assumptions!$F$48:$F$54)</f>
        <v>0</v>
      </c>
      <c r="M16" s="15">
        <f>IF(A16&lt;=Assumptions!$B$5,(I16+K16)*Assumptions!$B$10,0)</f>
        <v>0</v>
      </c>
      <c r="N16" s="15">
        <f t="shared" si="2"/>
        <v>5786.5749999999998</v>
      </c>
      <c r="O16" s="15">
        <f t="shared" si="3"/>
        <v>-2074.0750000000003</v>
      </c>
      <c r="P16" s="15">
        <f t="shared" si="4"/>
        <v>-57389.074999999997</v>
      </c>
    </row>
    <row r="17" spans="1:16" x14ac:dyDescent="0.3">
      <c r="A17" s="26">
        <v>14</v>
      </c>
      <c r="B17" s="5" t="str">
        <f t="shared" si="0"/>
        <v>Year 1</v>
      </c>
      <c r="C17" s="5">
        <f t="shared" si="1"/>
        <v>1</v>
      </c>
      <c r="D17" s="27">
        <f>IF(A17=Assumptions!$B$5,1,0)+IF(AND(A17&gt;Assumptions!$B$5,C17&gt;0),INDEX(Assumptions!$B$35:$B$39,C17),0)</f>
        <v>0.5</v>
      </c>
      <c r="E17" s="27">
        <f>E16*(1-Assumptions!$B$9)+D17</f>
        <v>1.9627249999999998</v>
      </c>
      <c r="F17" s="15">
        <f>E17*Assumptions!$B$6</f>
        <v>4906.8125</v>
      </c>
      <c r="G17" s="15">
        <f>F17*Assumptions!$B$7</f>
        <v>490.68125000000003</v>
      </c>
      <c r="H17" s="15">
        <f>E17*Assumptions!$B$8</f>
        <v>284.595125</v>
      </c>
      <c r="I17" s="15">
        <f>IF(A17&lt;=Assumptions!$B$5,Assumptions!$B$13+Assumptions!$B$14+Assumptions!$B$15+Assumptions!$B$16+IF(A17&gt;=Assumptions!$B$11,Assumptions!$B$17,0),SUM(Assumptions!$B$19:$B$24))</f>
        <v>5200</v>
      </c>
      <c r="J17" s="15">
        <f>IF(C17&gt;0,INDEX(Assumptions!$C$41:$C$45,C17),0)</f>
        <v>0</v>
      </c>
      <c r="K17" s="15">
        <f>SUMIF(Assumptions!$B$27:$B$31,A17,Assumptions!$C$27:$C$31)</f>
        <v>0</v>
      </c>
      <c r="L17" s="15">
        <f>SUMPRODUCT((Assumptions!$E$48:$E$54&lt;=A17)*Assumptions!$F$48:$F$54)</f>
        <v>0</v>
      </c>
      <c r="M17" s="15">
        <f>IF(A17&lt;=Assumptions!$B$5,(I17+K17)*Assumptions!$B$10,0)</f>
        <v>0</v>
      </c>
      <c r="N17" s="15">
        <f t="shared" si="2"/>
        <v>5975.2763750000004</v>
      </c>
      <c r="O17" s="15">
        <f t="shared" si="3"/>
        <v>-1068.4638750000004</v>
      </c>
      <c r="P17" s="15">
        <f t="shared" si="4"/>
        <v>-58457.538874999998</v>
      </c>
    </row>
    <row r="18" spans="1:16" x14ac:dyDescent="0.3">
      <c r="A18" s="26">
        <v>15</v>
      </c>
      <c r="B18" s="5" t="str">
        <f t="shared" si="0"/>
        <v>Year 1</v>
      </c>
      <c r="C18" s="5">
        <f t="shared" si="1"/>
        <v>1</v>
      </c>
      <c r="D18" s="27">
        <f>IF(A18=Assumptions!$B$5,1,0)+IF(AND(A18&gt;Assumptions!$B$5,C18&gt;0),INDEX(Assumptions!$B$35:$B$39,C18),0)</f>
        <v>0.5</v>
      </c>
      <c r="E18" s="27">
        <f>E17*(1-Assumptions!$B$9)+D18</f>
        <v>2.4332841250000001</v>
      </c>
      <c r="F18" s="15">
        <f>E18*Assumptions!$B$6</f>
        <v>6083.2103125000003</v>
      </c>
      <c r="G18" s="15">
        <f>F18*Assumptions!$B$7</f>
        <v>608.32103125000003</v>
      </c>
      <c r="H18" s="15">
        <f>E18*Assumptions!$B$8</f>
        <v>352.82619812500002</v>
      </c>
      <c r="I18" s="15">
        <f>IF(A18&lt;=Assumptions!$B$5,Assumptions!$B$13+Assumptions!$B$14+Assumptions!$B$15+Assumptions!$B$16+IF(A18&gt;=Assumptions!$B$11,Assumptions!$B$17,0),SUM(Assumptions!$B$19:$B$24))</f>
        <v>5200</v>
      </c>
      <c r="J18" s="15">
        <f>IF(C18&gt;0,INDEX(Assumptions!$C$41:$C$45,C18),0)</f>
        <v>0</v>
      </c>
      <c r="K18" s="15">
        <f>SUMIF(Assumptions!$B$27:$B$31,A18,Assumptions!$C$27:$C$31)</f>
        <v>0</v>
      </c>
      <c r="L18" s="15">
        <f>SUMPRODUCT((Assumptions!$E$48:$E$54&lt;=A18)*Assumptions!$F$48:$F$54)</f>
        <v>0</v>
      </c>
      <c r="M18" s="15">
        <f>IF(A18&lt;=Assumptions!$B$5,(I18+K18)*Assumptions!$B$10,0)</f>
        <v>0</v>
      </c>
      <c r="N18" s="15">
        <f t="shared" si="2"/>
        <v>6161.1472293750003</v>
      </c>
      <c r="O18" s="15">
        <f t="shared" si="3"/>
        <v>-77.936916874999952</v>
      </c>
      <c r="P18" s="15">
        <f t="shared" si="4"/>
        <v>-58535.475791874997</v>
      </c>
    </row>
    <row r="19" spans="1:16" x14ac:dyDescent="0.3">
      <c r="A19" s="26">
        <v>16</v>
      </c>
      <c r="B19" s="5" t="str">
        <f t="shared" si="0"/>
        <v>Year 1</v>
      </c>
      <c r="C19" s="5">
        <f t="shared" si="1"/>
        <v>1</v>
      </c>
      <c r="D19" s="27">
        <f>IF(A19=Assumptions!$B$5,1,0)+IF(AND(A19&gt;Assumptions!$B$5,C19&gt;0),INDEX(Assumptions!$B$35:$B$39,C19),0)</f>
        <v>0.5</v>
      </c>
      <c r="E19" s="27">
        <f>E18*(1-Assumptions!$B$9)+D19</f>
        <v>2.8967848631250002</v>
      </c>
      <c r="F19" s="15">
        <f>E19*Assumptions!$B$6</f>
        <v>7241.9621578125007</v>
      </c>
      <c r="G19" s="15">
        <f>F19*Assumptions!$B$7</f>
        <v>724.19621578125009</v>
      </c>
      <c r="H19" s="15">
        <f>E19*Assumptions!$B$8</f>
        <v>420.033805153125</v>
      </c>
      <c r="I19" s="15">
        <f>IF(A19&lt;=Assumptions!$B$5,Assumptions!$B$13+Assumptions!$B$14+Assumptions!$B$15+Assumptions!$B$16+IF(A19&gt;=Assumptions!$B$11,Assumptions!$B$17,0),SUM(Assumptions!$B$19:$B$24))</f>
        <v>5200</v>
      </c>
      <c r="J19" s="15">
        <f>IF(C19&gt;0,INDEX(Assumptions!$C$41:$C$45,C19),0)</f>
        <v>0</v>
      </c>
      <c r="K19" s="15">
        <f>SUMIF(Assumptions!$B$27:$B$31,A19,Assumptions!$C$27:$C$31)</f>
        <v>0</v>
      </c>
      <c r="L19" s="15">
        <f>SUMPRODUCT((Assumptions!$E$48:$E$54&lt;=A19)*Assumptions!$F$48:$F$54)</f>
        <v>0</v>
      </c>
      <c r="M19" s="15">
        <f>IF(A19&lt;=Assumptions!$B$5,(I19+K19)*Assumptions!$B$10,0)</f>
        <v>0</v>
      </c>
      <c r="N19" s="15">
        <f t="shared" si="2"/>
        <v>6344.2300209343748</v>
      </c>
      <c r="O19" s="15">
        <f t="shared" si="3"/>
        <v>897.73213687812586</v>
      </c>
      <c r="P19" s="15">
        <f t="shared" si="4"/>
        <v>-57637.74365499687</v>
      </c>
    </row>
    <row r="20" spans="1:16" x14ac:dyDescent="0.3">
      <c r="A20" s="26">
        <v>17</v>
      </c>
      <c r="B20" s="5" t="str">
        <f t="shared" si="0"/>
        <v>Year 1</v>
      </c>
      <c r="C20" s="5">
        <f t="shared" si="1"/>
        <v>1</v>
      </c>
      <c r="D20" s="27">
        <f>IF(A20=Assumptions!$B$5,1,0)+IF(AND(A20&gt;Assumptions!$B$5,C20&gt;0),INDEX(Assumptions!$B$35:$B$39,C20),0)</f>
        <v>0.5</v>
      </c>
      <c r="E20" s="27">
        <f>E19*(1-Assumptions!$B$9)+D20</f>
        <v>3.3533330901781251</v>
      </c>
      <c r="F20" s="15">
        <f>E20*Assumptions!$B$6</f>
        <v>8383.3327254453125</v>
      </c>
      <c r="G20" s="15">
        <f>F20*Assumptions!$B$7</f>
        <v>838.33327254453127</v>
      </c>
      <c r="H20" s="15">
        <f>E20*Assumptions!$B$8</f>
        <v>486.23329807582815</v>
      </c>
      <c r="I20" s="15">
        <f>IF(A20&lt;=Assumptions!$B$5,Assumptions!$B$13+Assumptions!$B$14+Assumptions!$B$15+Assumptions!$B$16+IF(A20&gt;=Assumptions!$B$11,Assumptions!$B$17,0),SUM(Assumptions!$B$19:$B$24))</f>
        <v>5200</v>
      </c>
      <c r="J20" s="15">
        <f>IF(C20&gt;0,INDEX(Assumptions!$C$41:$C$45,C20),0)</f>
        <v>0</v>
      </c>
      <c r="K20" s="15">
        <f>SUMIF(Assumptions!$B$27:$B$31,A20,Assumptions!$C$27:$C$31)</f>
        <v>0</v>
      </c>
      <c r="L20" s="15">
        <f>SUMPRODUCT((Assumptions!$E$48:$E$54&lt;=A20)*Assumptions!$F$48:$F$54)</f>
        <v>0</v>
      </c>
      <c r="M20" s="15">
        <f>IF(A20&lt;=Assumptions!$B$5,(I20+K20)*Assumptions!$B$10,0)</f>
        <v>0</v>
      </c>
      <c r="N20" s="15">
        <f t="shared" si="2"/>
        <v>6524.5665706203599</v>
      </c>
      <c r="O20" s="15">
        <f t="shared" si="3"/>
        <v>1858.7661548249525</v>
      </c>
      <c r="P20" s="15">
        <f t="shared" si="4"/>
        <v>-55778.977500171917</v>
      </c>
    </row>
    <row r="21" spans="1:16" x14ac:dyDescent="0.3">
      <c r="A21" s="26">
        <v>18</v>
      </c>
      <c r="B21" s="5" t="str">
        <f t="shared" si="0"/>
        <v>Year 1</v>
      </c>
      <c r="C21" s="5">
        <f t="shared" si="1"/>
        <v>1</v>
      </c>
      <c r="D21" s="27">
        <f>IF(A21=Assumptions!$B$5,1,0)+IF(AND(A21&gt;Assumptions!$B$5,C21&gt;0),INDEX(Assumptions!$B$35:$B$39,C21),0)</f>
        <v>0.5</v>
      </c>
      <c r="E21" s="27">
        <f>E20*(1-Assumptions!$B$9)+D21</f>
        <v>3.8030330938254533</v>
      </c>
      <c r="F21" s="15">
        <f>E21*Assumptions!$B$6</f>
        <v>9507.5827345636335</v>
      </c>
      <c r="G21" s="15">
        <f>F21*Assumptions!$B$7</f>
        <v>950.75827345636344</v>
      </c>
      <c r="H21" s="15">
        <f>E21*Assumptions!$B$8</f>
        <v>551.43979860469074</v>
      </c>
      <c r="I21" s="15">
        <f>IF(A21&lt;=Assumptions!$B$5,Assumptions!$B$13+Assumptions!$B$14+Assumptions!$B$15+Assumptions!$B$16+IF(A21&gt;=Assumptions!$B$11,Assumptions!$B$17,0),SUM(Assumptions!$B$19:$B$24))</f>
        <v>5200</v>
      </c>
      <c r="J21" s="15">
        <f>IF(C21&gt;0,INDEX(Assumptions!$C$41:$C$45,C21),0)</f>
        <v>0</v>
      </c>
      <c r="K21" s="15">
        <f>SUMIF(Assumptions!$B$27:$B$31,A21,Assumptions!$C$27:$C$31)</f>
        <v>0</v>
      </c>
      <c r="L21" s="15">
        <f>SUMPRODUCT((Assumptions!$E$48:$E$54&lt;=A21)*Assumptions!$F$48:$F$54)</f>
        <v>0</v>
      </c>
      <c r="M21" s="15">
        <f>IF(A21&lt;=Assumptions!$B$5,(I21+K21)*Assumptions!$B$10,0)</f>
        <v>0</v>
      </c>
      <c r="N21" s="15">
        <f t="shared" si="2"/>
        <v>6702.1980720610536</v>
      </c>
      <c r="O21" s="15">
        <f t="shared" si="3"/>
        <v>2805.3846625025799</v>
      </c>
      <c r="P21" s="15">
        <f t="shared" si="4"/>
        <v>-52973.592837669334</v>
      </c>
    </row>
    <row r="22" spans="1:16" x14ac:dyDescent="0.3">
      <c r="A22" s="26">
        <v>19</v>
      </c>
      <c r="B22" s="5" t="str">
        <f t="shared" si="0"/>
        <v>Year 1</v>
      </c>
      <c r="C22" s="5">
        <f t="shared" si="1"/>
        <v>1</v>
      </c>
      <c r="D22" s="27">
        <f>IF(A22=Assumptions!$B$5,1,0)+IF(AND(A22&gt;Assumptions!$B$5,C22&gt;0),INDEX(Assumptions!$B$35:$B$39,C22),0)</f>
        <v>0.5</v>
      </c>
      <c r="E22" s="27">
        <f>E21*(1-Assumptions!$B$9)+D22</f>
        <v>4.2459875974180719</v>
      </c>
      <c r="F22" s="15">
        <f>E22*Assumptions!$B$6</f>
        <v>10614.968993545179</v>
      </c>
      <c r="G22" s="15">
        <f>F22*Assumptions!$B$7</f>
        <v>1061.4968993545178</v>
      </c>
      <c r="H22" s="15">
        <f>E22*Assumptions!$B$8</f>
        <v>615.66820162562044</v>
      </c>
      <c r="I22" s="15">
        <f>IF(A22&lt;=Assumptions!$B$5,Assumptions!$B$13+Assumptions!$B$14+Assumptions!$B$15+Assumptions!$B$16+IF(A22&gt;=Assumptions!$B$11,Assumptions!$B$17,0),SUM(Assumptions!$B$19:$B$24))</f>
        <v>5200</v>
      </c>
      <c r="J22" s="15">
        <f>IF(C22&gt;0,INDEX(Assumptions!$C$41:$C$45,C22),0)</f>
        <v>0</v>
      </c>
      <c r="K22" s="15">
        <f>SUMIF(Assumptions!$B$27:$B$31,A22,Assumptions!$C$27:$C$31)</f>
        <v>0</v>
      </c>
      <c r="L22" s="15">
        <f>SUMPRODUCT((Assumptions!$E$48:$E$54&lt;=A22)*Assumptions!$F$48:$F$54)</f>
        <v>0</v>
      </c>
      <c r="M22" s="15">
        <f>IF(A22&lt;=Assumptions!$B$5,(I22+K22)*Assumptions!$B$10,0)</f>
        <v>0</v>
      </c>
      <c r="N22" s="15">
        <f t="shared" si="2"/>
        <v>6877.165100980138</v>
      </c>
      <c r="O22" s="15">
        <f t="shared" si="3"/>
        <v>3737.8038925650408</v>
      </c>
      <c r="P22" s="15">
        <f t="shared" si="4"/>
        <v>-49235.788945104294</v>
      </c>
    </row>
    <row r="23" spans="1:16" x14ac:dyDescent="0.3">
      <c r="A23" s="26">
        <v>20</v>
      </c>
      <c r="B23" s="5" t="str">
        <f t="shared" si="0"/>
        <v>Year 1</v>
      </c>
      <c r="C23" s="5">
        <f t="shared" si="1"/>
        <v>1</v>
      </c>
      <c r="D23" s="27">
        <f>IF(A23=Assumptions!$B$5,1,0)+IF(AND(A23&gt;Assumptions!$B$5,C23&gt;0),INDEX(Assumptions!$B$35:$B$39,C23),0)</f>
        <v>0.5</v>
      </c>
      <c r="E23" s="27">
        <f>E22*(1-Assumptions!$B$9)+D23</f>
        <v>4.6822977834568009</v>
      </c>
      <c r="F23" s="15">
        <f>E23*Assumptions!$B$6</f>
        <v>11705.744458642002</v>
      </c>
      <c r="G23" s="15">
        <f>F23*Assumptions!$B$7</f>
        <v>1170.5744458642002</v>
      </c>
      <c r="H23" s="15">
        <f>E23*Assumptions!$B$8</f>
        <v>678.93317860123614</v>
      </c>
      <c r="I23" s="15">
        <f>IF(A23&lt;=Assumptions!$B$5,Assumptions!$B$13+Assumptions!$B$14+Assumptions!$B$15+Assumptions!$B$16+IF(A23&gt;=Assumptions!$B$11,Assumptions!$B$17,0),SUM(Assumptions!$B$19:$B$24))</f>
        <v>5200</v>
      </c>
      <c r="J23" s="15">
        <f>IF(C23&gt;0,INDEX(Assumptions!$C$41:$C$45,C23),0)</f>
        <v>0</v>
      </c>
      <c r="K23" s="15">
        <f>SUMIF(Assumptions!$B$27:$B$31,A23,Assumptions!$C$27:$C$31)</f>
        <v>0</v>
      </c>
      <c r="L23" s="15">
        <f>SUMPRODUCT((Assumptions!$E$48:$E$54&lt;=A23)*Assumptions!$F$48:$F$54)</f>
        <v>0</v>
      </c>
      <c r="M23" s="15">
        <f>IF(A23&lt;=Assumptions!$B$5,(I23+K23)*Assumptions!$B$10,0)</f>
        <v>0</v>
      </c>
      <c r="N23" s="15">
        <f t="shared" si="2"/>
        <v>7049.5076244654365</v>
      </c>
      <c r="O23" s="15">
        <f t="shared" si="3"/>
        <v>4656.2368341765659</v>
      </c>
      <c r="P23" s="15">
        <f t="shared" si="4"/>
        <v>-44579.552110927725</v>
      </c>
    </row>
    <row r="24" spans="1:16" x14ac:dyDescent="0.3">
      <c r="A24" s="26">
        <v>21</v>
      </c>
      <c r="B24" s="5" t="str">
        <f t="shared" si="0"/>
        <v>Year 1</v>
      </c>
      <c r="C24" s="5">
        <f t="shared" si="1"/>
        <v>1</v>
      </c>
      <c r="D24" s="27">
        <f>IF(A24=Assumptions!$B$5,1,0)+IF(AND(A24&gt;Assumptions!$B$5,C24&gt;0),INDEX(Assumptions!$B$35:$B$39,C24),0)</f>
        <v>0.5</v>
      </c>
      <c r="E24" s="27">
        <f>E23*(1-Assumptions!$B$9)+D24</f>
        <v>5.1120633167049485</v>
      </c>
      <c r="F24" s="15">
        <f>E24*Assumptions!$B$6</f>
        <v>12780.158291762371</v>
      </c>
      <c r="G24" s="15">
        <f>F24*Assumptions!$B$7</f>
        <v>1278.0158291762373</v>
      </c>
      <c r="H24" s="15">
        <f>E24*Assumptions!$B$8</f>
        <v>741.24918092221753</v>
      </c>
      <c r="I24" s="15">
        <f>IF(A24&lt;=Assumptions!$B$5,Assumptions!$B$13+Assumptions!$B$14+Assumptions!$B$15+Assumptions!$B$16+IF(A24&gt;=Assumptions!$B$11,Assumptions!$B$17,0),SUM(Assumptions!$B$19:$B$24))</f>
        <v>5200</v>
      </c>
      <c r="J24" s="15">
        <f>IF(C24&gt;0,INDEX(Assumptions!$C$41:$C$45,C24),0)</f>
        <v>0</v>
      </c>
      <c r="K24" s="15">
        <f>SUMIF(Assumptions!$B$27:$B$31,A24,Assumptions!$C$27:$C$31)</f>
        <v>0</v>
      </c>
      <c r="L24" s="15">
        <f>SUMPRODUCT((Assumptions!$E$48:$E$54&lt;=A24)*Assumptions!$F$48:$F$54)</f>
        <v>0</v>
      </c>
      <c r="M24" s="15">
        <f>IF(A24&lt;=Assumptions!$B$5,(I24+K24)*Assumptions!$B$10,0)</f>
        <v>0</v>
      </c>
      <c r="N24" s="15">
        <f t="shared" si="2"/>
        <v>7219.2650100984547</v>
      </c>
      <c r="O24" s="15">
        <f t="shared" si="3"/>
        <v>5560.8932816639162</v>
      </c>
      <c r="P24" s="15">
        <f t="shared" si="4"/>
        <v>-39018.658829263812</v>
      </c>
    </row>
    <row r="25" spans="1:16" x14ac:dyDescent="0.3">
      <c r="A25" s="26">
        <v>22</v>
      </c>
      <c r="B25" s="5" t="str">
        <f t="shared" si="0"/>
        <v>Year 1</v>
      </c>
      <c r="C25" s="5">
        <f t="shared" si="1"/>
        <v>1</v>
      </c>
      <c r="D25" s="27">
        <f>IF(A25=Assumptions!$B$5,1,0)+IF(AND(A25&gt;Assumptions!$B$5,C25&gt;0),INDEX(Assumptions!$B$35:$B$39,C25),0)</f>
        <v>0.5</v>
      </c>
      <c r="E25" s="27">
        <f>E24*(1-Assumptions!$B$9)+D25</f>
        <v>5.5353823669543738</v>
      </c>
      <c r="F25" s="15">
        <f>E25*Assumptions!$B$6</f>
        <v>13838.455917385934</v>
      </c>
      <c r="G25" s="15">
        <f>F25*Assumptions!$B$7</f>
        <v>1383.8455917385936</v>
      </c>
      <c r="H25" s="15">
        <f>E25*Assumptions!$B$8</f>
        <v>802.63044320838424</v>
      </c>
      <c r="I25" s="15">
        <f>IF(A25&lt;=Assumptions!$B$5,Assumptions!$B$13+Assumptions!$B$14+Assumptions!$B$15+Assumptions!$B$16+IF(A25&gt;=Assumptions!$B$11,Assumptions!$B$17,0),SUM(Assumptions!$B$19:$B$24))</f>
        <v>5200</v>
      </c>
      <c r="J25" s="15">
        <f>IF(C25&gt;0,INDEX(Assumptions!$C$41:$C$45,C25),0)</f>
        <v>0</v>
      </c>
      <c r="K25" s="15">
        <f>SUMIF(Assumptions!$B$27:$B$31,A25,Assumptions!$C$27:$C$31)</f>
        <v>0</v>
      </c>
      <c r="L25" s="15">
        <f>SUMPRODUCT((Assumptions!$E$48:$E$54&lt;=A25)*Assumptions!$F$48:$F$54)</f>
        <v>0</v>
      </c>
      <c r="M25" s="15">
        <f>IF(A25&lt;=Assumptions!$B$5,(I25+K25)*Assumptions!$B$10,0)</f>
        <v>0</v>
      </c>
      <c r="N25" s="15">
        <f t="shared" si="2"/>
        <v>7386.476034946978</v>
      </c>
      <c r="O25" s="15">
        <f t="shared" si="3"/>
        <v>6451.9798824389563</v>
      </c>
      <c r="P25" s="15">
        <f t="shared" si="4"/>
        <v>-32566.678946824853</v>
      </c>
    </row>
    <row r="26" spans="1:16" x14ac:dyDescent="0.3">
      <c r="A26" s="26">
        <v>23</v>
      </c>
      <c r="B26" s="5" t="str">
        <f t="shared" si="0"/>
        <v>Year 1</v>
      </c>
      <c r="C26" s="5">
        <f t="shared" si="1"/>
        <v>1</v>
      </c>
      <c r="D26" s="27">
        <f>IF(A26=Assumptions!$B$5,1,0)+IF(AND(A26&gt;Assumptions!$B$5,C26&gt;0),INDEX(Assumptions!$B$35:$B$39,C26),0)</f>
        <v>0.5</v>
      </c>
      <c r="E26" s="27">
        <f>E25*(1-Assumptions!$B$9)+D26</f>
        <v>5.9523516314500577</v>
      </c>
      <c r="F26" s="15">
        <f>E26*Assumptions!$B$6</f>
        <v>14880.879078625145</v>
      </c>
      <c r="G26" s="15">
        <f>F26*Assumptions!$B$7</f>
        <v>1488.0879078625146</v>
      </c>
      <c r="H26" s="15">
        <f>E26*Assumptions!$B$8</f>
        <v>863.09098656025833</v>
      </c>
      <c r="I26" s="15">
        <f>IF(A26&lt;=Assumptions!$B$5,Assumptions!$B$13+Assumptions!$B$14+Assumptions!$B$15+Assumptions!$B$16+IF(A26&gt;=Assumptions!$B$11,Assumptions!$B$17,0),SUM(Assumptions!$B$19:$B$24))</f>
        <v>5200</v>
      </c>
      <c r="J26" s="15">
        <f>IF(C26&gt;0,INDEX(Assumptions!$C$41:$C$45,C26),0)</f>
        <v>0</v>
      </c>
      <c r="K26" s="15">
        <f>SUMIF(Assumptions!$B$27:$B$31,A26,Assumptions!$C$27:$C$31)</f>
        <v>0</v>
      </c>
      <c r="L26" s="15">
        <f>SUMPRODUCT((Assumptions!$E$48:$E$54&lt;=A26)*Assumptions!$F$48:$F$54)</f>
        <v>0</v>
      </c>
      <c r="M26" s="15">
        <f>IF(A26&lt;=Assumptions!$B$5,(I26+K26)*Assumptions!$B$10,0)</f>
        <v>0</v>
      </c>
      <c r="N26" s="15">
        <f t="shared" si="2"/>
        <v>7551.1788944227728</v>
      </c>
      <c r="O26" s="15">
        <f t="shared" si="3"/>
        <v>7329.7001842023719</v>
      </c>
      <c r="P26" s="15">
        <f t="shared" si="4"/>
        <v>-25236.978762622482</v>
      </c>
    </row>
    <row r="27" spans="1:16" x14ac:dyDescent="0.3">
      <c r="A27" s="26">
        <v>24</v>
      </c>
      <c r="B27" s="5" t="str">
        <f t="shared" si="0"/>
        <v>Year 1</v>
      </c>
      <c r="C27" s="5">
        <f t="shared" si="1"/>
        <v>1</v>
      </c>
      <c r="D27" s="27">
        <f>IF(A27=Assumptions!$B$5,1,0)+IF(AND(A27&gt;Assumptions!$B$5,C27&gt;0),INDEX(Assumptions!$B$35:$B$39,C27),0)</f>
        <v>0.5</v>
      </c>
      <c r="E27" s="27">
        <f>E26*(1-Assumptions!$B$9)+D27</f>
        <v>6.3630663569783064</v>
      </c>
      <c r="F27" s="15">
        <f>E27*Assumptions!$B$6</f>
        <v>15907.665892445766</v>
      </c>
      <c r="G27" s="15">
        <f>F27*Assumptions!$B$7</f>
        <v>1590.7665892445766</v>
      </c>
      <c r="H27" s="15">
        <f>E27*Assumptions!$B$8</f>
        <v>922.64462176185441</v>
      </c>
      <c r="I27" s="15">
        <f>IF(A27&lt;=Assumptions!$B$5,Assumptions!$B$13+Assumptions!$B$14+Assumptions!$B$15+Assumptions!$B$16+IF(A27&gt;=Assumptions!$B$11,Assumptions!$B$17,0),SUM(Assumptions!$B$19:$B$24))</f>
        <v>5200</v>
      </c>
      <c r="J27" s="15">
        <f>IF(C27&gt;0,INDEX(Assumptions!$C$41:$C$45,C27),0)</f>
        <v>0</v>
      </c>
      <c r="K27" s="15">
        <f>SUMIF(Assumptions!$B$27:$B$31,A27,Assumptions!$C$27:$C$31)</f>
        <v>0</v>
      </c>
      <c r="L27" s="15">
        <f>SUMPRODUCT((Assumptions!$E$48:$E$54&lt;=A27)*Assumptions!$F$48:$F$54)</f>
        <v>0</v>
      </c>
      <c r="M27" s="15">
        <f>IF(A27&lt;=Assumptions!$B$5,(I27+K27)*Assumptions!$B$10,0)</f>
        <v>0</v>
      </c>
      <c r="N27" s="15">
        <f t="shared" si="2"/>
        <v>7713.4112110064307</v>
      </c>
      <c r="O27" s="15">
        <f t="shared" si="3"/>
        <v>8194.2546814393354</v>
      </c>
      <c r="P27" s="15">
        <f t="shared" si="4"/>
        <v>-17042.724081183147</v>
      </c>
    </row>
    <row r="28" spans="1:16" x14ac:dyDescent="0.3">
      <c r="A28" s="26">
        <v>25</v>
      </c>
      <c r="B28" s="5" t="str">
        <f t="shared" si="0"/>
        <v>Year 2</v>
      </c>
      <c r="C28" s="5">
        <f t="shared" si="1"/>
        <v>2</v>
      </c>
      <c r="D28" s="27">
        <f>IF(A28=Assumptions!$B$5,1,0)+IF(AND(A28&gt;Assumptions!$B$5,C28&gt;0),INDEX(Assumptions!$B$35:$B$39,C28),0)</f>
        <v>0.75</v>
      </c>
      <c r="E28" s="27">
        <f>E27*(1-Assumptions!$B$9)+D28</f>
        <v>7.0176203616236315</v>
      </c>
      <c r="F28" s="15">
        <f>E28*Assumptions!$B$6</f>
        <v>17544.050904059077</v>
      </c>
      <c r="G28" s="15">
        <f>F28*Assumptions!$B$7</f>
        <v>1754.4050904059077</v>
      </c>
      <c r="H28" s="15">
        <f>E28*Assumptions!$B$8</f>
        <v>1017.5549524354266</v>
      </c>
      <c r="I28" s="15">
        <f>IF(A28&lt;=Assumptions!$B$5,Assumptions!$B$13+Assumptions!$B$14+Assumptions!$B$15+Assumptions!$B$16+IF(A28&gt;=Assumptions!$B$11,Assumptions!$B$17,0),SUM(Assumptions!$B$19:$B$24))</f>
        <v>5200</v>
      </c>
      <c r="J28" s="15">
        <f>IF(C28&gt;0,INDEX(Assumptions!$C$41:$C$45,C28),0)</f>
        <v>2000</v>
      </c>
      <c r="K28" s="15">
        <f>SUMIF(Assumptions!$B$27:$B$31,A28,Assumptions!$C$27:$C$31)</f>
        <v>0</v>
      </c>
      <c r="L28" s="15">
        <f>SUMPRODUCT((Assumptions!$E$48:$E$54&lt;=A28)*Assumptions!$F$48:$F$54)</f>
        <v>17179.166666666668</v>
      </c>
      <c r="M28" s="15">
        <f>IF(A28&lt;=Assumptions!$B$5,(I28+K28)*Assumptions!$B$10,0)</f>
        <v>0</v>
      </c>
      <c r="N28" s="15">
        <f t="shared" si="2"/>
        <v>27151.126709508004</v>
      </c>
      <c r="O28" s="15">
        <f t="shared" si="3"/>
        <v>-9607.075805448927</v>
      </c>
      <c r="P28" s="15">
        <f t="shared" si="4"/>
        <v>-26649.799886632074</v>
      </c>
    </row>
    <row r="29" spans="1:16" x14ac:dyDescent="0.3">
      <c r="A29" s="26">
        <v>26</v>
      </c>
      <c r="B29" s="5" t="str">
        <f t="shared" si="0"/>
        <v>Year 2</v>
      </c>
      <c r="C29" s="5">
        <f t="shared" si="1"/>
        <v>2</v>
      </c>
      <c r="D29" s="27">
        <f>IF(A29=Assumptions!$B$5,1,0)+IF(AND(A29&gt;Assumptions!$B$5,C29&gt;0),INDEX(Assumptions!$B$35:$B$39,C29),0)</f>
        <v>0.75</v>
      </c>
      <c r="E29" s="27">
        <f>E28*(1-Assumptions!$B$9)+D29</f>
        <v>7.6623560561992772</v>
      </c>
      <c r="F29" s="15">
        <f>E29*Assumptions!$B$6</f>
        <v>19155.890140498192</v>
      </c>
      <c r="G29" s="15">
        <f>F29*Assumptions!$B$7</f>
        <v>1915.5890140498193</v>
      </c>
      <c r="H29" s="15">
        <f>E29*Assumptions!$B$8</f>
        <v>1111.0416281488951</v>
      </c>
      <c r="I29" s="15">
        <f>IF(A29&lt;=Assumptions!$B$5,Assumptions!$B$13+Assumptions!$B$14+Assumptions!$B$15+Assumptions!$B$16+IF(A29&gt;=Assumptions!$B$11,Assumptions!$B$17,0),SUM(Assumptions!$B$19:$B$24))</f>
        <v>5200</v>
      </c>
      <c r="J29" s="15">
        <f>IF(C29&gt;0,INDEX(Assumptions!$C$41:$C$45,C29),0)</f>
        <v>2000</v>
      </c>
      <c r="K29" s="15">
        <f>SUMIF(Assumptions!$B$27:$B$31,A29,Assumptions!$C$27:$C$31)</f>
        <v>0</v>
      </c>
      <c r="L29" s="15">
        <f>SUMPRODUCT((Assumptions!$E$48:$E$54&lt;=A29)*Assumptions!$F$48:$F$54)</f>
        <v>17179.166666666668</v>
      </c>
      <c r="M29" s="15">
        <f>IF(A29&lt;=Assumptions!$B$5,(I29+K29)*Assumptions!$B$10,0)</f>
        <v>0</v>
      </c>
      <c r="N29" s="15">
        <f t="shared" si="2"/>
        <v>27405.797308865382</v>
      </c>
      <c r="O29" s="15">
        <f t="shared" si="3"/>
        <v>-8249.90716836719</v>
      </c>
      <c r="P29" s="15">
        <f t="shared" si="4"/>
        <v>-34899.707054999264</v>
      </c>
    </row>
    <row r="30" spans="1:16" x14ac:dyDescent="0.3">
      <c r="A30" s="26">
        <v>27</v>
      </c>
      <c r="B30" s="5" t="str">
        <f t="shared" si="0"/>
        <v>Year 2</v>
      </c>
      <c r="C30" s="5">
        <f t="shared" si="1"/>
        <v>2</v>
      </c>
      <c r="D30" s="27">
        <f>IF(A30=Assumptions!$B$5,1,0)+IF(AND(A30&gt;Assumptions!$B$5,C30&gt;0),INDEX(Assumptions!$B$35:$B$39,C30),0)</f>
        <v>0.75</v>
      </c>
      <c r="E30" s="27">
        <f>E29*(1-Assumptions!$B$9)+D30</f>
        <v>8.2974207153562887</v>
      </c>
      <c r="F30" s="15">
        <f>E30*Assumptions!$B$6</f>
        <v>20743.551788390723</v>
      </c>
      <c r="G30" s="15">
        <f>F30*Assumptions!$B$7</f>
        <v>2074.3551788390723</v>
      </c>
      <c r="H30" s="15">
        <f>E30*Assumptions!$B$8</f>
        <v>1203.1260037266618</v>
      </c>
      <c r="I30" s="15">
        <f>IF(A30&lt;=Assumptions!$B$5,Assumptions!$B$13+Assumptions!$B$14+Assumptions!$B$15+Assumptions!$B$16+IF(A30&gt;=Assumptions!$B$11,Assumptions!$B$17,0),SUM(Assumptions!$B$19:$B$24))</f>
        <v>5200</v>
      </c>
      <c r="J30" s="15">
        <f>IF(C30&gt;0,INDEX(Assumptions!$C$41:$C$45,C30),0)</f>
        <v>2000</v>
      </c>
      <c r="K30" s="15">
        <f>SUMIF(Assumptions!$B$27:$B$31,A30,Assumptions!$C$27:$C$31)</f>
        <v>0</v>
      </c>
      <c r="L30" s="15">
        <f>SUMPRODUCT((Assumptions!$E$48:$E$54&lt;=A30)*Assumptions!$F$48:$F$54)</f>
        <v>17179.166666666668</v>
      </c>
      <c r="M30" s="15">
        <f>IF(A30&lt;=Assumptions!$B$5,(I30+K30)*Assumptions!$B$10,0)</f>
        <v>0</v>
      </c>
      <c r="N30" s="15">
        <f t="shared" si="2"/>
        <v>27656.647849232402</v>
      </c>
      <c r="O30" s="15">
        <f t="shared" si="3"/>
        <v>-6913.096060841679</v>
      </c>
      <c r="P30" s="15">
        <f t="shared" si="4"/>
        <v>-41812.803115840943</v>
      </c>
    </row>
    <row r="31" spans="1:16" x14ac:dyDescent="0.3">
      <c r="A31" s="26">
        <v>28</v>
      </c>
      <c r="B31" s="5" t="str">
        <f t="shared" si="0"/>
        <v>Year 2</v>
      </c>
      <c r="C31" s="5">
        <f t="shared" si="1"/>
        <v>2</v>
      </c>
      <c r="D31" s="27">
        <f>IF(A31=Assumptions!$B$5,1,0)+IF(AND(A31&gt;Assumptions!$B$5,C31&gt;0),INDEX(Assumptions!$B$35:$B$39,C31),0)</f>
        <v>0.75</v>
      </c>
      <c r="E31" s="27">
        <f>E30*(1-Assumptions!$B$9)+D31</f>
        <v>8.9229594046259439</v>
      </c>
      <c r="F31" s="15">
        <f>E31*Assumptions!$B$6</f>
        <v>22307.398511564861</v>
      </c>
      <c r="G31" s="15">
        <f>F31*Assumptions!$B$7</f>
        <v>2230.7398511564861</v>
      </c>
      <c r="H31" s="15">
        <f>E31*Assumptions!$B$8</f>
        <v>1293.8291136707619</v>
      </c>
      <c r="I31" s="15">
        <f>IF(A31&lt;=Assumptions!$B$5,Assumptions!$B$13+Assumptions!$B$14+Assumptions!$B$15+Assumptions!$B$16+IF(A31&gt;=Assumptions!$B$11,Assumptions!$B$17,0),SUM(Assumptions!$B$19:$B$24))</f>
        <v>5200</v>
      </c>
      <c r="J31" s="15">
        <f>IF(C31&gt;0,INDEX(Assumptions!$C$41:$C$45,C31),0)</f>
        <v>2000</v>
      </c>
      <c r="K31" s="15">
        <f>SUMIF(Assumptions!$B$27:$B$31,A31,Assumptions!$C$27:$C$31)</f>
        <v>0</v>
      </c>
      <c r="L31" s="15">
        <f>SUMPRODUCT((Assumptions!$E$48:$E$54&lt;=A31)*Assumptions!$F$48:$F$54)</f>
        <v>17179.166666666668</v>
      </c>
      <c r="M31" s="15">
        <f>IF(A31&lt;=Assumptions!$B$5,(I31+K31)*Assumptions!$B$10,0)</f>
        <v>0</v>
      </c>
      <c r="N31" s="15">
        <f t="shared" si="2"/>
        <v>27903.735631493917</v>
      </c>
      <c r="O31" s="15">
        <f t="shared" si="3"/>
        <v>-5596.3371199290559</v>
      </c>
      <c r="P31" s="15">
        <f t="shared" si="4"/>
        <v>-47409.140235769999</v>
      </c>
    </row>
    <row r="32" spans="1:16" x14ac:dyDescent="0.3">
      <c r="A32" s="26">
        <v>29</v>
      </c>
      <c r="B32" s="5" t="str">
        <f t="shared" si="0"/>
        <v>Year 2</v>
      </c>
      <c r="C32" s="5">
        <f t="shared" si="1"/>
        <v>2</v>
      </c>
      <c r="D32" s="27">
        <f>IF(A32=Assumptions!$B$5,1,0)+IF(AND(A32&gt;Assumptions!$B$5,C32&gt;0),INDEX(Assumptions!$B$35:$B$39,C32),0)</f>
        <v>0.75</v>
      </c>
      <c r="E32" s="27">
        <f>E31*(1-Assumptions!$B$9)+D32</f>
        <v>9.5391150135565539</v>
      </c>
      <c r="F32" s="15">
        <f>E32*Assumptions!$B$6</f>
        <v>23847.787533891384</v>
      </c>
      <c r="G32" s="15">
        <f>F32*Assumptions!$B$7</f>
        <v>2384.7787533891383</v>
      </c>
      <c r="H32" s="15">
        <f>E32*Assumptions!$B$8</f>
        <v>1383.1716769657003</v>
      </c>
      <c r="I32" s="15">
        <f>IF(A32&lt;=Assumptions!$B$5,Assumptions!$B$13+Assumptions!$B$14+Assumptions!$B$15+Assumptions!$B$16+IF(A32&gt;=Assumptions!$B$11,Assumptions!$B$17,0),SUM(Assumptions!$B$19:$B$24))</f>
        <v>5200</v>
      </c>
      <c r="J32" s="15">
        <f>IF(C32&gt;0,INDEX(Assumptions!$C$41:$C$45,C32),0)</f>
        <v>2000</v>
      </c>
      <c r="K32" s="15">
        <f>SUMIF(Assumptions!$B$27:$B$31,A32,Assumptions!$C$27:$C$31)</f>
        <v>0</v>
      </c>
      <c r="L32" s="15">
        <f>SUMPRODUCT((Assumptions!$E$48:$E$54&lt;=A32)*Assumptions!$F$48:$F$54)</f>
        <v>17179.166666666668</v>
      </c>
      <c r="M32" s="15">
        <f>IF(A32&lt;=Assumptions!$B$5,(I32+K32)*Assumptions!$B$10,0)</f>
        <v>0</v>
      </c>
      <c r="N32" s="15">
        <f t="shared" si="2"/>
        <v>28147.117097021506</v>
      </c>
      <c r="O32" s="15">
        <f t="shared" si="3"/>
        <v>-4299.3295631301226</v>
      </c>
      <c r="P32" s="15">
        <f t="shared" si="4"/>
        <v>-51708.469798900122</v>
      </c>
    </row>
    <row r="33" spans="1:16" x14ac:dyDescent="0.3">
      <c r="A33" s="26">
        <v>30</v>
      </c>
      <c r="B33" s="5" t="str">
        <f t="shared" si="0"/>
        <v>Year 2</v>
      </c>
      <c r="C33" s="5">
        <f t="shared" si="1"/>
        <v>2</v>
      </c>
      <c r="D33" s="27">
        <f>IF(A33=Assumptions!$B$5,1,0)+IF(AND(A33&gt;Assumptions!$B$5,C33&gt;0),INDEX(Assumptions!$B$35:$B$39,C33),0)</f>
        <v>0.75</v>
      </c>
      <c r="E33" s="27">
        <f>E32*(1-Assumptions!$B$9)+D33</f>
        <v>10.146028288353206</v>
      </c>
      <c r="F33" s="15">
        <f>E33*Assumptions!$B$6</f>
        <v>25365.070720883014</v>
      </c>
      <c r="G33" s="15">
        <f>F33*Assumptions!$B$7</f>
        <v>2536.5070720883014</v>
      </c>
      <c r="H33" s="15">
        <f>E33*Assumptions!$B$8</f>
        <v>1471.1741018112148</v>
      </c>
      <c r="I33" s="15">
        <f>IF(A33&lt;=Assumptions!$B$5,Assumptions!$B$13+Assumptions!$B$14+Assumptions!$B$15+Assumptions!$B$16+IF(A33&gt;=Assumptions!$B$11,Assumptions!$B$17,0),SUM(Assumptions!$B$19:$B$24))</f>
        <v>5200</v>
      </c>
      <c r="J33" s="15">
        <f>IF(C33&gt;0,INDEX(Assumptions!$C$41:$C$45,C33),0)</f>
        <v>2000</v>
      </c>
      <c r="K33" s="15">
        <f>SUMIF(Assumptions!$B$27:$B$31,A33,Assumptions!$C$27:$C$31)</f>
        <v>0</v>
      </c>
      <c r="L33" s="15">
        <f>SUMPRODUCT((Assumptions!$E$48:$E$54&lt;=A33)*Assumptions!$F$48:$F$54)</f>
        <v>17179.166666666668</v>
      </c>
      <c r="M33" s="15">
        <f>IF(A33&lt;=Assumptions!$B$5,(I33+K33)*Assumptions!$B$10,0)</f>
        <v>0</v>
      </c>
      <c r="N33" s="15">
        <f t="shared" si="2"/>
        <v>28386.847840566184</v>
      </c>
      <c r="O33" s="15">
        <f t="shared" si="3"/>
        <v>-3021.7771196831709</v>
      </c>
      <c r="P33" s="15">
        <f t="shared" si="4"/>
        <v>-54730.246918583289</v>
      </c>
    </row>
    <row r="34" spans="1:16" x14ac:dyDescent="0.3">
      <c r="A34" s="26">
        <v>31</v>
      </c>
      <c r="B34" s="5" t="str">
        <f t="shared" si="0"/>
        <v>Year 2</v>
      </c>
      <c r="C34" s="5">
        <f t="shared" si="1"/>
        <v>2</v>
      </c>
      <c r="D34" s="27">
        <f>IF(A34=Assumptions!$B$5,1,0)+IF(AND(A34&gt;Assumptions!$B$5,C34&gt;0),INDEX(Assumptions!$B$35:$B$39,C34),0)</f>
        <v>0.75</v>
      </c>
      <c r="E34" s="27">
        <f>E33*(1-Assumptions!$B$9)+D34</f>
        <v>10.743837864027908</v>
      </c>
      <c r="F34" s="15">
        <f>E34*Assumptions!$B$6</f>
        <v>26859.594660069772</v>
      </c>
      <c r="G34" s="15">
        <f>F34*Assumptions!$B$7</f>
        <v>2685.9594660069774</v>
      </c>
      <c r="H34" s="15">
        <f>E34*Assumptions!$B$8</f>
        <v>1557.8564902840467</v>
      </c>
      <c r="I34" s="15">
        <f>IF(A34&lt;=Assumptions!$B$5,Assumptions!$B$13+Assumptions!$B$14+Assumptions!$B$15+Assumptions!$B$16+IF(A34&gt;=Assumptions!$B$11,Assumptions!$B$17,0),SUM(Assumptions!$B$19:$B$24))</f>
        <v>5200</v>
      </c>
      <c r="J34" s="15">
        <f>IF(C34&gt;0,INDEX(Assumptions!$C$41:$C$45,C34),0)</f>
        <v>2000</v>
      </c>
      <c r="K34" s="15">
        <f>SUMIF(Assumptions!$B$27:$B$31,A34,Assumptions!$C$27:$C$31)</f>
        <v>0</v>
      </c>
      <c r="L34" s="15">
        <f>SUMPRODUCT((Assumptions!$E$48:$E$54&lt;=A34)*Assumptions!$F$48:$F$54)</f>
        <v>17179.166666666668</v>
      </c>
      <c r="M34" s="15">
        <f>IF(A34&lt;=Assumptions!$B$5,(I34+K34)*Assumptions!$B$10,0)</f>
        <v>0</v>
      </c>
      <c r="N34" s="15">
        <f t="shared" si="2"/>
        <v>28622.982622957694</v>
      </c>
      <c r="O34" s="15">
        <f t="shared" si="3"/>
        <v>-1763.3879628879222</v>
      </c>
      <c r="P34" s="15">
        <f t="shared" si="4"/>
        <v>-56493.634881471211</v>
      </c>
    </row>
    <row r="35" spans="1:16" x14ac:dyDescent="0.3">
      <c r="A35" s="26">
        <v>32</v>
      </c>
      <c r="B35" s="5" t="str">
        <f t="shared" si="0"/>
        <v>Year 2</v>
      </c>
      <c r="C35" s="5">
        <f t="shared" si="1"/>
        <v>2</v>
      </c>
      <c r="D35" s="27">
        <f>IF(A35=Assumptions!$B$5,1,0)+IF(AND(A35&gt;Assumptions!$B$5,C35&gt;0),INDEX(Assumptions!$B$35:$B$39,C35),0)</f>
        <v>0.75</v>
      </c>
      <c r="E35" s="27">
        <f>E34*(1-Assumptions!$B$9)+D35</f>
        <v>11.332680296067489</v>
      </c>
      <c r="F35" s="15">
        <f>E35*Assumptions!$B$6</f>
        <v>28331.700740168722</v>
      </c>
      <c r="G35" s="15">
        <f>F35*Assumptions!$B$7</f>
        <v>2833.1700740168726</v>
      </c>
      <c r="H35" s="15">
        <f>E35*Assumptions!$B$8</f>
        <v>1643.2386429297858</v>
      </c>
      <c r="I35" s="15">
        <f>IF(A35&lt;=Assumptions!$B$5,Assumptions!$B$13+Assumptions!$B$14+Assumptions!$B$15+Assumptions!$B$16+IF(A35&gt;=Assumptions!$B$11,Assumptions!$B$17,0),SUM(Assumptions!$B$19:$B$24))</f>
        <v>5200</v>
      </c>
      <c r="J35" s="15">
        <f>IF(C35&gt;0,INDEX(Assumptions!$C$41:$C$45,C35),0)</f>
        <v>2000</v>
      </c>
      <c r="K35" s="15">
        <f>SUMIF(Assumptions!$B$27:$B$31,A35,Assumptions!$C$27:$C$31)</f>
        <v>0</v>
      </c>
      <c r="L35" s="15">
        <f>SUMPRODUCT((Assumptions!$E$48:$E$54&lt;=A35)*Assumptions!$F$48:$F$54)</f>
        <v>17179.166666666668</v>
      </c>
      <c r="M35" s="15">
        <f>IF(A35&lt;=Assumptions!$B$5,(I35+K35)*Assumptions!$B$10,0)</f>
        <v>0</v>
      </c>
      <c r="N35" s="15">
        <f t="shared" si="2"/>
        <v>28855.575383613326</v>
      </c>
      <c r="O35" s="15">
        <f t="shared" si="3"/>
        <v>-523.87464344460386</v>
      </c>
      <c r="P35" s="15">
        <f t="shared" si="4"/>
        <v>-57017.509524915818</v>
      </c>
    </row>
    <row r="36" spans="1:16" x14ac:dyDescent="0.3">
      <c r="A36" s="26">
        <v>33</v>
      </c>
      <c r="B36" s="5" t="str">
        <f t="shared" ref="B36:B67" si="5">"Year "&amp;INT((A36-1)/12)</f>
        <v>Year 2</v>
      </c>
      <c r="C36" s="5">
        <f t="shared" ref="C36:C67" si="6">IF(A36&lt;=12,0,INT((A36-13)/12)+1)</f>
        <v>2</v>
      </c>
      <c r="D36" s="27">
        <f>IF(A36=Assumptions!$B$5,1,0)+IF(AND(A36&gt;Assumptions!$B$5,C36&gt;0),INDEX(Assumptions!$B$35:$B$39,C36),0)</f>
        <v>0.75</v>
      </c>
      <c r="E36" s="27">
        <f>E35*(1-Assumptions!$B$9)+D36</f>
        <v>11.912690091626477</v>
      </c>
      <c r="F36" s="15">
        <f>E36*Assumptions!$B$6</f>
        <v>29781.725229066193</v>
      </c>
      <c r="G36" s="15">
        <f>F36*Assumptions!$B$7</f>
        <v>2978.1725229066196</v>
      </c>
      <c r="H36" s="15">
        <f>E36*Assumptions!$B$8</f>
        <v>1727.3400632858391</v>
      </c>
      <c r="I36" s="15">
        <f>IF(A36&lt;=Assumptions!$B$5,Assumptions!$B$13+Assumptions!$B$14+Assumptions!$B$15+Assumptions!$B$16+IF(A36&gt;=Assumptions!$B$11,Assumptions!$B$17,0),SUM(Assumptions!$B$19:$B$24))</f>
        <v>5200</v>
      </c>
      <c r="J36" s="15">
        <f>IF(C36&gt;0,INDEX(Assumptions!$C$41:$C$45,C36),0)</f>
        <v>2000</v>
      </c>
      <c r="K36" s="15">
        <f>SUMIF(Assumptions!$B$27:$B$31,A36,Assumptions!$C$27:$C$31)</f>
        <v>0</v>
      </c>
      <c r="L36" s="15">
        <f>SUMPRODUCT((Assumptions!$E$48:$E$54&lt;=A36)*Assumptions!$F$48:$F$54)</f>
        <v>17179.166666666668</v>
      </c>
      <c r="M36" s="15">
        <f>IF(A36&lt;=Assumptions!$B$5,(I36+K36)*Assumptions!$B$10,0)</f>
        <v>0</v>
      </c>
      <c r="N36" s="15">
        <f t="shared" ref="N36:N67" si="7">SUM(G36:M36)</f>
        <v>29084.679252859125</v>
      </c>
      <c r="O36" s="15">
        <f t="shared" ref="O36:O67" si="8">F36-N36</f>
        <v>697.04597620706772</v>
      </c>
      <c r="P36" s="15">
        <f t="shared" si="4"/>
        <v>-56320.463548708751</v>
      </c>
    </row>
    <row r="37" spans="1:16" x14ac:dyDescent="0.3">
      <c r="A37" s="26">
        <v>34</v>
      </c>
      <c r="B37" s="5" t="str">
        <f t="shared" si="5"/>
        <v>Year 2</v>
      </c>
      <c r="C37" s="5">
        <f t="shared" si="6"/>
        <v>2</v>
      </c>
      <c r="D37" s="27">
        <f>IF(A37=Assumptions!$B$5,1,0)+IF(AND(A37&gt;Assumptions!$B$5,C37&gt;0),INDEX(Assumptions!$B$35:$B$39,C37),0)</f>
        <v>0.75</v>
      </c>
      <c r="E37" s="27">
        <f>E36*(1-Assumptions!$B$9)+D37</f>
        <v>12.483999740252079</v>
      </c>
      <c r="F37" s="15">
        <f>E37*Assumptions!$B$6</f>
        <v>31209.999350630198</v>
      </c>
      <c r="G37" s="15">
        <f>F37*Assumptions!$B$7</f>
        <v>3120.9999350630201</v>
      </c>
      <c r="H37" s="15">
        <f>E37*Assumptions!$B$8</f>
        <v>1810.1799623365514</v>
      </c>
      <c r="I37" s="15">
        <f>IF(A37&lt;=Assumptions!$B$5,Assumptions!$B$13+Assumptions!$B$14+Assumptions!$B$15+Assumptions!$B$16+IF(A37&gt;=Assumptions!$B$11,Assumptions!$B$17,0),SUM(Assumptions!$B$19:$B$24))</f>
        <v>5200</v>
      </c>
      <c r="J37" s="15">
        <f>IF(C37&gt;0,INDEX(Assumptions!$C$41:$C$45,C37),0)</f>
        <v>2000</v>
      </c>
      <c r="K37" s="15">
        <f>SUMIF(Assumptions!$B$27:$B$31,A37,Assumptions!$C$27:$C$31)</f>
        <v>0</v>
      </c>
      <c r="L37" s="15">
        <f>SUMPRODUCT((Assumptions!$E$48:$E$54&lt;=A37)*Assumptions!$F$48:$F$54)</f>
        <v>17179.166666666668</v>
      </c>
      <c r="M37" s="15">
        <f>IF(A37&lt;=Assumptions!$B$5,(I37+K37)*Assumptions!$B$10,0)</f>
        <v>0</v>
      </c>
      <c r="N37" s="15">
        <f t="shared" si="7"/>
        <v>29310.34656406624</v>
      </c>
      <c r="O37" s="15">
        <f t="shared" si="8"/>
        <v>1899.6527865639582</v>
      </c>
      <c r="P37" s="15">
        <f t="shared" ref="P37:P68" si="9">P36+O37</f>
        <v>-54420.810762144793</v>
      </c>
    </row>
    <row r="38" spans="1:16" x14ac:dyDescent="0.3">
      <c r="A38" s="26">
        <v>35</v>
      </c>
      <c r="B38" s="5" t="str">
        <f t="shared" si="5"/>
        <v>Year 2</v>
      </c>
      <c r="C38" s="5">
        <f t="shared" si="6"/>
        <v>2</v>
      </c>
      <c r="D38" s="27">
        <f>IF(A38=Assumptions!$B$5,1,0)+IF(AND(A38&gt;Assumptions!$B$5,C38&gt;0),INDEX(Assumptions!$B$35:$B$39,C38),0)</f>
        <v>0.75</v>
      </c>
      <c r="E38" s="27">
        <f>E37*(1-Assumptions!$B$9)+D38</f>
        <v>13.046739744148297</v>
      </c>
      <c r="F38" s="15">
        <f>E38*Assumptions!$B$6</f>
        <v>32616.849360370743</v>
      </c>
      <c r="G38" s="15">
        <f>F38*Assumptions!$B$7</f>
        <v>3261.6849360370743</v>
      </c>
      <c r="H38" s="15">
        <f>E38*Assumptions!$B$8</f>
        <v>1891.777262901503</v>
      </c>
      <c r="I38" s="15">
        <f>IF(A38&lt;=Assumptions!$B$5,Assumptions!$B$13+Assumptions!$B$14+Assumptions!$B$15+Assumptions!$B$16+IF(A38&gt;=Assumptions!$B$11,Assumptions!$B$17,0),SUM(Assumptions!$B$19:$B$24))</f>
        <v>5200</v>
      </c>
      <c r="J38" s="15">
        <f>IF(C38&gt;0,INDEX(Assumptions!$C$41:$C$45,C38),0)</f>
        <v>2000</v>
      </c>
      <c r="K38" s="15">
        <f>SUMIF(Assumptions!$B$27:$B$31,A38,Assumptions!$C$27:$C$31)</f>
        <v>0</v>
      </c>
      <c r="L38" s="15">
        <f>SUMPRODUCT((Assumptions!$E$48:$E$54&lt;=A38)*Assumptions!$F$48:$F$54)</f>
        <v>17179.166666666668</v>
      </c>
      <c r="M38" s="15">
        <f>IF(A38&lt;=Assumptions!$B$5,(I38+K38)*Assumptions!$B$10,0)</f>
        <v>0</v>
      </c>
      <c r="N38" s="15">
        <f t="shared" si="7"/>
        <v>29532.628865605246</v>
      </c>
      <c r="O38" s="15">
        <f t="shared" si="8"/>
        <v>3084.2204947654973</v>
      </c>
      <c r="P38" s="15">
        <f t="shared" si="9"/>
        <v>-51336.590267379295</v>
      </c>
    </row>
    <row r="39" spans="1:16" x14ac:dyDescent="0.3">
      <c r="A39" s="26">
        <v>36</v>
      </c>
      <c r="B39" s="5" t="str">
        <f t="shared" si="5"/>
        <v>Year 2</v>
      </c>
      <c r="C39" s="5">
        <f t="shared" si="6"/>
        <v>2</v>
      </c>
      <c r="D39" s="27">
        <f>IF(A39=Assumptions!$B$5,1,0)+IF(AND(A39&gt;Assumptions!$B$5,C39&gt;0),INDEX(Assumptions!$B$35:$B$39,C39),0)</f>
        <v>0.75</v>
      </c>
      <c r="E39" s="27">
        <f>E38*(1-Assumptions!$B$9)+D39</f>
        <v>13.601038647986073</v>
      </c>
      <c r="F39" s="15">
        <f>E39*Assumptions!$B$6</f>
        <v>34002.596619965181</v>
      </c>
      <c r="G39" s="15">
        <f>F39*Assumptions!$B$7</f>
        <v>3400.2596619965184</v>
      </c>
      <c r="H39" s="15">
        <f>E39*Assumptions!$B$8</f>
        <v>1972.1506039579806</v>
      </c>
      <c r="I39" s="15">
        <f>IF(A39&lt;=Assumptions!$B$5,Assumptions!$B$13+Assumptions!$B$14+Assumptions!$B$15+Assumptions!$B$16+IF(A39&gt;=Assumptions!$B$11,Assumptions!$B$17,0),SUM(Assumptions!$B$19:$B$24))</f>
        <v>5200</v>
      </c>
      <c r="J39" s="15">
        <f>IF(C39&gt;0,INDEX(Assumptions!$C$41:$C$45,C39),0)</f>
        <v>2000</v>
      </c>
      <c r="K39" s="15">
        <f>SUMIF(Assumptions!$B$27:$B$31,A39,Assumptions!$C$27:$C$31)</f>
        <v>0</v>
      </c>
      <c r="L39" s="15">
        <f>SUMPRODUCT((Assumptions!$E$48:$E$54&lt;=A39)*Assumptions!$F$48:$F$54)</f>
        <v>17179.166666666668</v>
      </c>
      <c r="M39" s="15">
        <f>IF(A39&lt;=Assumptions!$B$5,(I39+K39)*Assumptions!$B$10,0)</f>
        <v>0</v>
      </c>
      <c r="N39" s="15">
        <f t="shared" si="7"/>
        <v>29751.576932621167</v>
      </c>
      <c r="O39" s="15">
        <f t="shared" si="8"/>
        <v>4251.0196873440145</v>
      </c>
      <c r="P39" s="15">
        <f t="shared" si="9"/>
        <v>-47085.570580035281</v>
      </c>
    </row>
    <row r="40" spans="1:16" x14ac:dyDescent="0.3">
      <c r="A40" s="26">
        <v>37</v>
      </c>
      <c r="B40" s="5" t="str">
        <f t="shared" si="5"/>
        <v>Year 3</v>
      </c>
      <c r="C40" s="5">
        <f t="shared" si="6"/>
        <v>3</v>
      </c>
      <c r="D40" s="27">
        <f>IF(A40=Assumptions!$B$5,1,0)+IF(AND(A40&gt;Assumptions!$B$5,C40&gt;0),INDEX(Assumptions!$B$35:$B$39,C40),0)</f>
        <v>1</v>
      </c>
      <c r="E40" s="27">
        <f>E39*(1-Assumptions!$B$9)+D40</f>
        <v>14.397023068266282</v>
      </c>
      <c r="F40" s="15">
        <f>E40*Assumptions!$B$6</f>
        <v>35992.557670665708</v>
      </c>
      <c r="G40" s="15">
        <f>F40*Assumptions!$B$7</f>
        <v>3599.255767066571</v>
      </c>
      <c r="H40" s="15">
        <f>E40*Assumptions!$B$8</f>
        <v>2087.568344898611</v>
      </c>
      <c r="I40" s="15">
        <f>IF(A40&lt;=Assumptions!$B$5,Assumptions!$B$13+Assumptions!$B$14+Assumptions!$B$15+Assumptions!$B$16+IF(A40&gt;=Assumptions!$B$11,Assumptions!$B$17,0),SUM(Assumptions!$B$19:$B$24))</f>
        <v>5200</v>
      </c>
      <c r="J40" s="15">
        <f>IF(C40&gt;0,INDEX(Assumptions!$C$41:$C$45,C40),0)</f>
        <v>5000</v>
      </c>
      <c r="K40" s="15">
        <f>SUMIF(Assumptions!$B$27:$B$31,A40,Assumptions!$C$27:$C$31)</f>
        <v>0</v>
      </c>
      <c r="L40" s="15">
        <f>SUMPRODUCT((Assumptions!$E$48:$E$54&lt;=A40)*Assumptions!$F$48:$F$54)</f>
        <v>52710.833333333336</v>
      </c>
      <c r="M40" s="15">
        <f>IF(A40&lt;=Assumptions!$B$5,(I40+K40)*Assumptions!$B$10,0)</f>
        <v>0</v>
      </c>
      <c r="N40" s="15">
        <f t="shared" si="7"/>
        <v>68597.657445298522</v>
      </c>
      <c r="O40" s="15">
        <f t="shared" si="8"/>
        <v>-32605.099774632814</v>
      </c>
      <c r="P40" s="15">
        <f t="shared" si="9"/>
        <v>-79690.670354668095</v>
      </c>
    </row>
    <row r="41" spans="1:16" x14ac:dyDescent="0.3">
      <c r="A41" s="26">
        <v>38</v>
      </c>
      <c r="B41" s="5" t="str">
        <f t="shared" si="5"/>
        <v>Year 3</v>
      </c>
      <c r="C41" s="5">
        <f t="shared" si="6"/>
        <v>3</v>
      </c>
      <c r="D41" s="27">
        <f>IF(A41=Assumptions!$B$5,1,0)+IF(AND(A41&gt;Assumptions!$B$5,C41&gt;0),INDEX(Assumptions!$B$35:$B$39,C41),0)</f>
        <v>1</v>
      </c>
      <c r="E41" s="27">
        <f>E40*(1-Assumptions!$B$9)+D41</f>
        <v>15.181067722242288</v>
      </c>
      <c r="F41" s="15">
        <f>E41*Assumptions!$B$6</f>
        <v>37952.669305605719</v>
      </c>
      <c r="G41" s="15">
        <f>F41*Assumptions!$B$7</f>
        <v>3795.2669305605723</v>
      </c>
      <c r="H41" s="15">
        <f>E41*Assumptions!$B$8</f>
        <v>2201.2548197251317</v>
      </c>
      <c r="I41" s="15">
        <f>IF(A41&lt;=Assumptions!$B$5,Assumptions!$B$13+Assumptions!$B$14+Assumptions!$B$15+Assumptions!$B$16+IF(A41&gt;=Assumptions!$B$11,Assumptions!$B$17,0),SUM(Assumptions!$B$19:$B$24))</f>
        <v>5200</v>
      </c>
      <c r="J41" s="15">
        <f>IF(C41&gt;0,INDEX(Assumptions!$C$41:$C$45,C41),0)</f>
        <v>5000</v>
      </c>
      <c r="K41" s="15">
        <f>SUMIF(Assumptions!$B$27:$B$31,A41,Assumptions!$C$27:$C$31)</f>
        <v>0</v>
      </c>
      <c r="L41" s="15">
        <f>SUMPRODUCT((Assumptions!$E$48:$E$54&lt;=A41)*Assumptions!$F$48:$F$54)</f>
        <v>52710.833333333336</v>
      </c>
      <c r="M41" s="15">
        <f>IF(A41&lt;=Assumptions!$B$5,(I41+K41)*Assumptions!$B$10,0)</f>
        <v>0</v>
      </c>
      <c r="N41" s="15">
        <f t="shared" si="7"/>
        <v>68907.355083619041</v>
      </c>
      <c r="O41" s="15">
        <f t="shared" si="8"/>
        <v>-30954.685778013321</v>
      </c>
      <c r="P41" s="15">
        <f t="shared" si="9"/>
        <v>-110645.35613268142</v>
      </c>
    </row>
    <row r="42" spans="1:16" x14ac:dyDescent="0.3">
      <c r="A42" s="26">
        <v>39</v>
      </c>
      <c r="B42" s="5" t="str">
        <f t="shared" si="5"/>
        <v>Year 3</v>
      </c>
      <c r="C42" s="5">
        <f t="shared" si="6"/>
        <v>3</v>
      </c>
      <c r="D42" s="27">
        <f>IF(A42=Assumptions!$B$5,1,0)+IF(AND(A42&gt;Assumptions!$B$5,C42&gt;0),INDEX(Assumptions!$B$35:$B$39,C42),0)</f>
        <v>1</v>
      </c>
      <c r="E42" s="27">
        <f>E41*(1-Assumptions!$B$9)+D42</f>
        <v>15.953351706408654</v>
      </c>
      <c r="F42" s="15">
        <f>E42*Assumptions!$B$6</f>
        <v>39883.379266021635</v>
      </c>
      <c r="G42" s="15">
        <f>F42*Assumptions!$B$7</f>
        <v>3988.3379266021639</v>
      </c>
      <c r="H42" s="15">
        <f>E42*Assumptions!$B$8</f>
        <v>2313.2359974292549</v>
      </c>
      <c r="I42" s="15">
        <f>IF(A42&lt;=Assumptions!$B$5,Assumptions!$B$13+Assumptions!$B$14+Assumptions!$B$15+Assumptions!$B$16+IF(A42&gt;=Assumptions!$B$11,Assumptions!$B$17,0),SUM(Assumptions!$B$19:$B$24))</f>
        <v>5200</v>
      </c>
      <c r="J42" s="15">
        <f>IF(C42&gt;0,INDEX(Assumptions!$C$41:$C$45,C42),0)</f>
        <v>5000</v>
      </c>
      <c r="K42" s="15">
        <f>SUMIF(Assumptions!$B$27:$B$31,A42,Assumptions!$C$27:$C$31)</f>
        <v>0</v>
      </c>
      <c r="L42" s="15">
        <f>SUMPRODUCT((Assumptions!$E$48:$E$54&lt;=A42)*Assumptions!$F$48:$F$54)</f>
        <v>52710.833333333336</v>
      </c>
      <c r="M42" s="15">
        <f>IF(A42&lt;=Assumptions!$B$5,(I42+K42)*Assumptions!$B$10,0)</f>
        <v>0</v>
      </c>
      <c r="N42" s="15">
        <f t="shared" si="7"/>
        <v>69212.407257364757</v>
      </c>
      <c r="O42" s="15">
        <f t="shared" si="8"/>
        <v>-29329.027991343122</v>
      </c>
      <c r="P42" s="15">
        <f t="shared" si="9"/>
        <v>-139974.38412402454</v>
      </c>
    </row>
    <row r="43" spans="1:16" x14ac:dyDescent="0.3">
      <c r="A43" s="26">
        <v>40</v>
      </c>
      <c r="B43" s="5" t="str">
        <f t="shared" si="5"/>
        <v>Year 3</v>
      </c>
      <c r="C43" s="5">
        <f t="shared" si="6"/>
        <v>3</v>
      </c>
      <c r="D43" s="27">
        <f>IF(A43=Assumptions!$B$5,1,0)+IF(AND(A43&gt;Assumptions!$B$5,C43&gt;0),INDEX(Assumptions!$B$35:$B$39,C43),0)</f>
        <v>1</v>
      </c>
      <c r="E43" s="27">
        <f>E42*(1-Assumptions!$B$9)+D43</f>
        <v>16.714051430812525</v>
      </c>
      <c r="F43" s="15">
        <f>E43*Assumptions!$B$6</f>
        <v>41785.128577031312</v>
      </c>
      <c r="G43" s="15">
        <f>F43*Assumptions!$B$7</f>
        <v>4178.512857703131</v>
      </c>
      <c r="H43" s="15">
        <f>E43*Assumptions!$B$8</f>
        <v>2423.5374574678162</v>
      </c>
      <c r="I43" s="15">
        <f>IF(A43&lt;=Assumptions!$B$5,Assumptions!$B$13+Assumptions!$B$14+Assumptions!$B$15+Assumptions!$B$16+IF(A43&gt;=Assumptions!$B$11,Assumptions!$B$17,0),SUM(Assumptions!$B$19:$B$24))</f>
        <v>5200</v>
      </c>
      <c r="J43" s="15">
        <f>IF(C43&gt;0,INDEX(Assumptions!$C$41:$C$45,C43),0)</f>
        <v>5000</v>
      </c>
      <c r="K43" s="15">
        <f>SUMIF(Assumptions!$B$27:$B$31,A43,Assumptions!$C$27:$C$31)</f>
        <v>0</v>
      </c>
      <c r="L43" s="15">
        <f>SUMPRODUCT((Assumptions!$E$48:$E$54&lt;=A43)*Assumptions!$F$48:$F$54)</f>
        <v>52710.833333333336</v>
      </c>
      <c r="M43" s="15">
        <f>IF(A43&lt;=Assumptions!$B$5,(I43+K43)*Assumptions!$B$10,0)</f>
        <v>0</v>
      </c>
      <c r="N43" s="15">
        <f t="shared" si="7"/>
        <v>69512.883648504285</v>
      </c>
      <c r="O43" s="15">
        <f t="shared" si="8"/>
        <v>-27727.755071472973</v>
      </c>
      <c r="P43" s="15">
        <f t="shared" si="9"/>
        <v>-167702.1391954975</v>
      </c>
    </row>
    <row r="44" spans="1:16" x14ac:dyDescent="0.3">
      <c r="A44" s="26">
        <v>41</v>
      </c>
      <c r="B44" s="5" t="str">
        <f t="shared" si="5"/>
        <v>Year 3</v>
      </c>
      <c r="C44" s="5">
        <f t="shared" si="6"/>
        <v>3</v>
      </c>
      <c r="D44" s="27">
        <f>IF(A44=Assumptions!$B$5,1,0)+IF(AND(A44&gt;Assumptions!$B$5,C44&gt;0),INDEX(Assumptions!$B$35:$B$39,C44),0)</f>
        <v>1</v>
      </c>
      <c r="E44" s="27">
        <f>E43*(1-Assumptions!$B$9)+D44</f>
        <v>17.463340659350337</v>
      </c>
      <c r="F44" s="15">
        <f>E44*Assumptions!$B$6</f>
        <v>43658.351648375843</v>
      </c>
      <c r="G44" s="15">
        <f>F44*Assumptions!$B$7</f>
        <v>4365.8351648375847</v>
      </c>
      <c r="H44" s="15">
        <f>E44*Assumptions!$B$8</f>
        <v>2532.1843956057987</v>
      </c>
      <c r="I44" s="15">
        <f>IF(A44&lt;=Assumptions!$B$5,Assumptions!$B$13+Assumptions!$B$14+Assumptions!$B$15+Assumptions!$B$16+IF(A44&gt;=Assumptions!$B$11,Assumptions!$B$17,0),SUM(Assumptions!$B$19:$B$24))</f>
        <v>5200</v>
      </c>
      <c r="J44" s="15">
        <f>IF(C44&gt;0,INDEX(Assumptions!$C$41:$C$45,C44),0)</f>
        <v>5000</v>
      </c>
      <c r="K44" s="15">
        <f>SUMIF(Assumptions!$B$27:$B$31,A44,Assumptions!$C$27:$C$31)</f>
        <v>0</v>
      </c>
      <c r="L44" s="15">
        <f>SUMPRODUCT((Assumptions!$E$48:$E$54&lt;=A44)*Assumptions!$F$48:$F$54)</f>
        <v>52710.833333333336</v>
      </c>
      <c r="M44" s="15">
        <f>IF(A44&lt;=Assumptions!$B$5,(I44+K44)*Assumptions!$B$10,0)</f>
        <v>0</v>
      </c>
      <c r="N44" s="15">
        <f t="shared" si="7"/>
        <v>69808.852893776726</v>
      </c>
      <c r="O44" s="15">
        <f t="shared" si="8"/>
        <v>-26150.501245400883</v>
      </c>
      <c r="P44" s="15">
        <f t="shared" si="9"/>
        <v>-193852.64044089837</v>
      </c>
    </row>
    <row r="45" spans="1:16" x14ac:dyDescent="0.3">
      <c r="A45" s="26">
        <v>42</v>
      </c>
      <c r="B45" s="5" t="str">
        <f t="shared" si="5"/>
        <v>Year 3</v>
      </c>
      <c r="C45" s="5">
        <f t="shared" si="6"/>
        <v>3</v>
      </c>
      <c r="D45" s="27">
        <f>IF(A45=Assumptions!$B$5,1,0)+IF(AND(A45&gt;Assumptions!$B$5,C45&gt;0),INDEX(Assumptions!$B$35:$B$39,C45),0)</f>
        <v>1</v>
      </c>
      <c r="E45" s="27">
        <f>E44*(1-Assumptions!$B$9)+D45</f>
        <v>18.201390549460083</v>
      </c>
      <c r="F45" s="15">
        <f>E45*Assumptions!$B$6</f>
        <v>45503.476373650206</v>
      </c>
      <c r="G45" s="15">
        <f>F45*Assumptions!$B$7</f>
        <v>4550.347637365021</v>
      </c>
      <c r="H45" s="15">
        <f>E45*Assumptions!$B$8</f>
        <v>2639.201629671712</v>
      </c>
      <c r="I45" s="15">
        <f>IF(A45&lt;=Assumptions!$B$5,Assumptions!$B$13+Assumptions!$B$14+Assumptions!$B$15+Assumptions!$B$16+IF(A45&gt;=Assumptions!$B$11,Assumptions!$B$17,0),SUM(Assumptions!$B$19:$B$24))</f>
        <v>5200</v>
      </c>
      <c r="J45" s="15">
        <f>IF(C45&gt;0,INDEX(Assumptions!$C$41:$C$45,C45),0)</f>
        <v>5000</v>
      </c>
      <c r="K45" s="15">
        <f>SUMIF(Assumptions!$B$27:$B$31,A45,Assumptions!$C$27:$C$31)</f>
        <v>0</v>
      </c>
      <c r="L45" s="15">
        <f>SUMPRODUCT((Assumptions!$E$48:$E$54&lt;=A45)*Assumptions!$F$48:$F$54)</f>
        <v>52710.833333333336</v>
      </c>
      <c r="M45" s="15">
        <f>IF(A45&lt;=Assumptions!$B$5,(I45+K45)*Assumptions!$B$10,0)</f>
        <v>0</v>
      </c>
      <c r="N45" s="15">
        <f t="shared" si="7"/>
        <v>70100.382600370067</v>
      </c>
      <c r="O45" s="15">
        <f t="shared" si="8"/>
        <v>-24596.906226719861</v>
      </c>
      <c r="P45" s="15">
        <f t="shared" si="9"/>
        <v>-218449.54666761821</v>
      </c>
    </row>
    <row r="46" spans="1:16" x14ac:dyDescent="0.3">
      <c r="A46" s="26">
        <v>43</v>
      </c>
      <c r="B46" s="5" t="str">
        <f t="shared" si="5"/>
        <v>Year 3</v>
      </c>
      <c r="C46" s="5">
        <f t="shared" si="6"/>
        <v>3</v>
      </c>
      <c r="D46" s="27">
        <f>IF(A46=Assumptions!$B$5,1,0)+IF(AND(A46&gt;Assumptions!$B$5,C46&gt;0),INDEX(Assumptions!$B$35:$B$39,C46),0)</f>
        <v>1</v>
      </c>
      <c r="E46" s="27">
        <f>E45*(1-Assumptions!$B$9)+D46</f>
        <v>18.92836969121818</v>
      </c>
      <c r="F46" s="15">
        <f>E46*Assumptions!$B$6</f>
        <v>47320.924228045449</v>
      </c>
      <c r="G46" s="15">
        <f>F46*Assumptions!$B$7</f>
        <v>4732.0924228045451</v>
      </c>
      <c r="H46" s="15">
        <f>E46*Assumptions!$B$8</f>
        <v>2744.6136052266361</v>
      </c>
      <c r="I46" s="15">
        <f>IF(A46&lt;=Assumptions!$B$5,Assumptions!$B$13+Assumptions!$B$14+Assumptions!$B$15+Assumptions!$B$16+IF(A46&gt;=Assumptions!$B$11,Assumptions!$B$17,0),SUM(Assumptions!$B$19:$B$24))</f>
        <v>5200</v>
      </c>
      <c r="J46" s="15">
        <f>IF(C46&gt;0,INDEX(Assumptions!$C$41:$C$45,C46),0)</f>
        <v>5000</v>
      </c>
      <c r="K46" s="15">
        <f>SUMIF(Assumptions!$B$27:$B$31,A46,Assumptions!$C$27:$C$31)</f>
        <v>0</v>
      </c>
      <c r="L46" s="15">
        <f>SUMPRODUCT((Assumptions!$E$48:$E$54&lt;=A46)*Assumptions!$F$48:$F$54)</f>
        <v>52710.833333333336</v>
      </c>
      <c r="M46" s="15">
        <f>IF(A46&lt;=Assumptions!$B$5,(I46+K46)*Assumptions!$B$10,0)</f>
        <v>0</v>
      </c>
      <c r="N46" s="15">
        <f t="shared" si="7"/>
        <v>70387.539361364514</v>
      </c>
      <c r="O46" s="15">
        <f t="shared" si="8"/>
        <v>-23066.615133319065</v>
      </c>
      <c r="P46" s="15">
        <f t="shared" si="9"/>
        <v>-241516.16180093726</v>
      </c>
    </row>
    <row r="47" spans="1:16" x14ac:dyDescent="0.3">
      <c r="A47" s="26">
        <v>44</v>
      </c>
      <c r="B47" s="5" t="str">
        <f t="shared" si="5"/>
        <v>Year 3</v>
      </c>
      <c r="C47" s="5">
        <f t="shared" si="6"/>
        <v>3</v>
      </c>
      <c r="D47" s="27">
        <f>IF(A47=Assumptions!$B$5,1,0)+IF(AND(A47&gt;Assumptions!$B$5,C47&gt;0),INDEX(Assumptions!$B$35:$B$39,C47),0)</f>
        <v>1</v>
      </c>
      <c r="E47" s="27">
        <f>E46*(1-Assumptions!$B$9)+D47</f>
        <v>19.644444145849906</v>
      </c>
      <c r="F47" s="15">
        <f>E47*Assumptions!$B$6</f>
        <v>49111.110364624765</v>
      </c>
      <c r="G47" s="15">
        <f>F47*Assumptions!$B$7</f>
        <v>4911.1110364624765</v>
      </c>
      <c r="H47" s="15">
        <f>E47*Assumptions!$B$8</f>
        <v>2848.4444011482365</v>
      </c>
      <c r="I47" s="15">
        <f>IF(A47&lt;=Assumptions!$B$5,Assumptions!$B$13+Assumptions!$B$14+Assumptions!$B$15+Assumptions!$B$16+IF(A47&gt;=Assumptions!$B$11,Assumptions!$B$17,0),SUM(Assumptions!$B$19:$B$24))</f>
        <v>5200</v>
      </c>
      <c r="J47" s="15">
        <f>IF(C47&gt;0,INDEX(Assumptions!$C$41:$C$45,C47),0)</f>
        <v>5000</v>
      </c>
      <c r="K47" s="15">
        <f>SUMIF(Assumptions!$B$27:$B$31,A47,Assumptions!$C$27:$C$31)</f>
        <v>0</v>
      </c>
      <c r="L47" s="15">
        <f>SUMPRODUCT((Assumptions!$E$48:$E$54&lt;=A47)*Assumptions!$F$48:$F$54)</f>
        <v>52710.833333333336</v>
      </c>
      <c r="M47" s="15">
        <f>IF(A47&lt;=Assumptions!$B$5,(I47+K47)*Assumptions!$B$10,0)</f>
        <v>0</v>
      </c>
      <c r="N47" s="15">
        <f t="shared" si="7"/>
        <v>70670.388770944046</v>
      </c>
      <c r="O47" s="15">
        <f t="shared" si="8"/>
        <v>-21559.278406319281</v>
      </c>
      <c r="P47" s="15">
        <f t="shared" si="9"/>
        <v>-263075.44020725653</v>
      </c>
    </row>
    <row r="48" spans="1:16" x14ac:dyDescent="0.3">
      <c r="A48" s="26">
        <v>45</v>
      </c>
      <c r="B48" s="5" t="str">
        <f t="shared" si="5"/>
        <v>Year 3</v>
      </c>
      <c r="C48" s="5">
        <f t="shared" si="6"/>
        <v>3</v>
      </c>
      <c r="D48" s="27">
        <f>IF(A48=Assumptions!$B$5,1,0)+IF(AND(A48&gt;Assumptions!$B$5,C48&gt;0),INDEX(Assumptions!$B$35:$B$39,C48),0)</f>
        <v>1</v>
      </c>
      <c r="E48" s="27">
        <f>E47*(1-Assumptions!$B$9)+D48</f>
        <v>20.349777483662159</v>
      </c>
      <c r="F48" s="15">
        <f>E48*Assumptions!$B$6</f>
        <v>50874.443709155399</v>
      </c>
      <c r="G48" s="15">
        <f>F48*Assumptions!$B$7</f>
        <v>5087.4443709155403</v>
      </c>
      <c r="H48" s="15">
        <f>E48*Assumptions!$B$8</f>
        <v>2950.7177351310129</v>
      </c>
      <c r="I48" s="15">
        <f>IF(A48&lt;=Assumptions!$B$5,Assumptions!$B$13+Assumptions!$B$14+Assumptions!$B$15+Assumptions!$B$16+IF(A48&gt;=Assumptions!$B$11,Assumptions!$B$17,0),SUM(Assumptions!$B$19:$B$24))</f>
        <v>5200</v>
      </c>
      <c r="J48" s="15">
        <f>IF(C48&gt;0,INDEX(Assumptions!$C$41:$C$45,C48),0)</f>
        <v>5000</v>
      </c>
      <c r="K48" s="15">
        <f>SUMIF(Assumptions!$B$27:$B$31,A48,Assumptions!$C$27:$C$31)</f>
        <v>0</v>
      </c>
      <c r="L48" s="15">
        <f>SUMPRODUCT((Assumptions!$E$48:$E$54&lt;=A48)*Assumptions!$F$48:$F$54)</f>
        <v>52710.833333333336</v>
      </c>
      <c r="M48" s="15">
        <f>IF(A48&lt;=Assumptions!$B$5,(I48+K48)*Assumptions!$B$10,0)</f>
        <v>0</v>
      </c>
      <c r="N48" s="15">
        <f t="shared" si="7"/>
        <v>70948.995439379883</v>
      </c>
      <c r="O48" s="15">
        <f t="shared" si="8"/>
        <v>-20074.551730224484</v>
      </c>
      <c r="P48" s="15">
        <f t="shared" si="9"/>
        <v>-283149.99193748098</v>
      </c>
    </row>
    <row r="49" spans="1:16" x14ac:dyDescent="0.3">
      <c r="A49" s="26">
        <v>46</v>
      </c>
      <c r="B49" s="5" t="str">
        <f t="shared" si="5"/>
        <v>Year 3</v>
      </c>
      <c r="C49" s="5">
        <f t="shared" si="6"/>
        <v>3</v>
      </c>
      <c r="D49" s="27">
        <f>IF(A49=Assumptions!$B$5,1,0)+IF(AND(A49&gt;Assumptions!$B$5,C49&gt;0),INDEX(Assumptions!$B$35:$B$39,C49),0)</f>
        <v>1</v>
      </c>
      <c r="E49" s="27">
        <f>E48*(1-Assumptions!$B$9)+D49</f>
        <v>21.044530821407225</v>
      </c>
      <c r="F49" s="15">
        <f>E49*Assumptions!$B$6</f>
        <v>52611.327053518064</v>
      </c>
      <c r="G49" s="15">
        <f>F49*Assumptions!$B$7</f>
        <v>5261.1327053518071</v>
      </c>
      <c r="H49" s="15">
        <f>E49*Assumptions!$B$8</f>
        <v>3051.4569691040474</v>
      </c>
      <c r="I49" s="15">
        <f>IF(A49&lt;=Assumptions!$B$5,Assumptions!$B$13+Assumptions!$B$14+Assumptions!$B$15+Assumptions!$B$16+IF(A49&gt;=Assumptions!$B$11,Assumptions!$B$17,0),SUM(Assumptions!$B$19:$B$24))</f>
        <v>5200</v>
      </c>
      <c r="J49" s="15">
        <f>IF(C49&gt;0,INDEX(Assumptions!$C$41:$C$45,C49),0)</f>
        <v>5000</v>
      </c>
      <c r="K49" s="15">
        <f>SUMIF(Assumptions!$B$27:$B$31,A49,Assumptions!$C$27:$C$31)</f>
        <v>0</v>
      </c>
      <c r="L49" s="15">
        <f>SUMPRODUCT((Assumptions!$E$48:$E$54&lt;=A49)*Assumptions!$F$48:$F$54)</f>
        <v>52710.833333333336</v>
      </c>
      <c r="M49" s="15">
        <f>IF(A49&lt;=Assumptions!$B$5,(I49+K49)*Assumptions!$B$10,0)</f>
        <v>0</v>
      </c>
      <c r="N49" s="15">
        <f t="shared" si="7"/>
        <v>71223.423007789184</v>
      </c>
      <c r="O49" s="15">
        <f t="shared" si="8"/>
        <v>-18612.095954271121</v>
      </c>
      <c r="P49" s="15">
        <f t="shared" si="9"/>
        <v>-301762.08789175213</v>
      </c>
    </row>
    <row r="50" spans="1:16" x14ac:dyDescent="0.3">
      <c r="A50" s="26">
        <v>47</v>
      </c>
      <c r="B50" s="5" t="str">
        <f t="shared" si="5"/>
        <v>Year 3</v>
      </c>
      <c r="C50" s="5">
        <f t="shared" si="6"/>
        <v>3</v>
      </c>
      <c r="D50" s="27">
        <f>IF(A50=Assumptions!$B$5,1,0)+IF(AND(A50&gt;Assumptions!$B$5,C50&gt;0),INDEX(Assumptions!$B$35:$B$39,C50),0)</f>
        <v>1</v>
      </c>
      <c r="E50" s="27">
        <f>E49*(1-Assumptions!$B$9)+D50</f>
        <v>21.728862859086117</v>
      </c>
      <c r="F50" s="15">
        <f>E50*Assumptions!$B$6</f>
        <v>54322.15714771529</v>
      </c>
      <c r="G50" s="15">
        <f>F50*Assumptions!$B$7</f>
        <v>5432.2157147715297</v>
      </c>
      <c r="H50" s="15">
        <f>E50*Assumptions!$B$8</f>
        <v>3150.6851145674868</v>
      </c>
      <c r="I50" s="15">
        <f>IF(A50&lt;=Assumptions!$B$5,Assumptions!$B$13+Assumptions!$B$14+Assumptions!$B$15+Assumptions!$B$16+IF(A50&gt;=Assumptions!$B$11,Assumptions!$B$17,0),SUM(Assumptions!$B$19:$B$24))</f>
        <v>5200</v>
      </c>
      <c r="J50" s="15">
        <f>IF(C50&gt;0,INDEX(Assumptions!$C$41:$C$45,C50),0)</f>
        <v>5000</v>
      </c>
      <c r="K50" s="15">
        <f>SUMIF(Assumptions!$B$27:$B$31,A50,Assumptions!$C$27:$C$31)</f>
        <v>0</v>
      </c>
      <c r="L50" s="15">
        <f>SUMPRODUCT((Assumptions!$E$48:$E$54&lt;=A50)*Assumptions!$F$48:$F$54)</f>
        <v>52710.833333333336</v>
      </c>
      <c r="M50" s="15">
        <f>IF(A50&lt;=Assumptions!$B$5,(I50+K50)*Assumptions!$B$10,0)</f>
        <v>0</v>
      </c>
      <c r="N50" s="15">
        <f t="shared" si="7"/>
        <v>71493.73416267235</v>
      </c>
      <c r="O50" s="15">
        <f t="shared" si="8"/>
        <v>-17171.57701495706</v>
      </c>
      <c r="P50" s="15">
        <f t="shared" si="9"/>
        <v>-318933.66490670922</v>
      </c>
    </row>
    <row r="51" spans="1:16" x14ac:dyDescent="0.3">
      <c r="A51" s="26">
        <v>48</v>
      </c>
      <c r="B51" s="5" t="str">
        <f t="shared" si="5"/>
        <v>Year 3</v>
      </c>
      <c r="C51" s="5">
        <f t="shared" si="6"/>
        <v>3</v>
      </c>
      <c r="D51" s="27">
        <f>IF(A51=Assumptions!$B$5,1,0)+IF(AND(A51&gt;Assumptions!$B$5,C51&gt;0),INDEX(Assumptions!$B$35:$B$39,C51),0)</f>
        <v>1</v>
      </c>
      <c r="E51" s="27">
        <f>E50*(1-Assumptions!$B$9)+D51</f>
        <v>22.402929916199824</v>
      </c>
      <c r="F51" s="15">
        <f>E51*Assumptions!$B$6</f>
        <v>56007.324790499559</v>
      </c>
      <c r="G51" s="15">
        <f>F51*Assumptions!$B$7</f>
        <v>5600.7324790499561</v>
      </c>
      <c r="H51" s="15">
        <f>E51*Assumptions!$B$8</f>
        <v>3248.4248378489747</v>
      </c>
      <c r="I51" s="15">
        <f>IF(A51&lt;=Assumptions!$B$5,Assumptions!$B$13+Assumptions!$B$14+Assumptions!$B$15+Assumptions!$B$16+IF(A51&gt;=Assumptions!$B$11,Assumptions!$B$17,0),SUM(Assumptions!$B$19:$B$24))</f>
        <v>5200</v>
      </c>
      <c r="J51" s="15">
        <f>IF(C51&gt;0,INDEX(Assumptions!$C$41:$C$45,C51),0)</f>
        <v>5000</v>
      </c>
      <c r="K51" s="15">
        <f>SUMIF(Assumptions!$B$27:$B$31,A51,Assumptions!$C$27:$C$31)</f>
        <v>0</v>
      </c>
      <c r="L51" s="15">
        <f>SUMPRODUCT((Assumptions!$E$48:$E$54&lt;=A51)*Assumptions!$F$48:$F$54)</f>
        <v>52710.833333333336</v>
      </c>
      <c r="M51" s="15">
        <f>IF(A51&lt;=Assumptions!$B$5,(I51+K51)*Assumptions!$B$10,0)</f>
        <v>0</v>
      </c>
      <c r="N51" s="15">
        <f t="shared" si="7"/>
        <v>71759.99065023227</v>
      </c>
      <c r="O51" s="15">
        <f t="shared" si="8"/>
        <v>-15752.665859732711</v>
      </c>
      <c r="P51" s="15">
        <f t="shared" si="9"/>
        <v>-334686.33076644194</v>
      </c>
    </row>
    <row r="52" spans="1:16" x14ac:dyDescent="0.3">
      <c r="A52" s="26">
        <v>49</v>
      </c>
      <c r="B52" s="5" t="str">
        <f t="shared" si="5"/>
        <v>Year 4</v>
      </c>
      <c r="C52" s="5">
        <f t="shared" si="6"/>
        <v>4</v>
      </c>
      <c r="D52" s="27">
        <f>IF(A52=Assumptions!$B$5,1,0)+IF(AND(A52&gt;Assumptions!$B$5,C52&gt;0),INDEX(Assumptions!$B$35:$B$39,C52),0)</f>
        <v>1.25</v>
      </c>
      <c r="E52" s="27">
        <f>E51*(1-Assumptions!$B$9)+D52</f>
        <v>23.316885967456827</v>
      </c>
      <c r="F52" s="15">
        <f>E52*Assumptions!$B$6</f>
        <v>58292.214918642065</v>
      </c>
      <c r="G52" s="15">
        <f>F52*Assumptions!$B$7</f>
        <v>5829.2214918642067</v>
      </c>
      <c r="H52" s="15">
        <f>E52*Assumptions!$B$8</f>
        <v>3380.9484652812398</v>
      </c>
      <c r="I52" s="15">
        <f>IF(A52&lt;=Assumptions!$B$5,Assumptions!$B$13+Assumptions!$B$14+Assumptions!$B$15+Assumptions!$B$16+IF(A52&gt;=Assumptions!$B$11,Assumptions!$B$17,0),SUM(Assumptions!$B$19:$B$24))</f>
        <v>5200</v>
      </c>
      <c r="J52" s="15">
        <f>IF(C52&gt;0,INDEX(Assumptions!$C$41:$C$45,C52),0)</f>
        <v>8000</v>
      </c>
      <c r="K52" s="15">
        <f>SUMIF(Assumptions!$B$27:$B$31,A52,Assumptions!$C$27:$C$31)</f>
        <v>0</v>
      </c>
      <c r="L52" s="15">
        <f>SUMPRODUCT((Assumptions!$E$48:$E$54&lt;=A52)*Assumptions!$F$48:$F$54)</f>
        <v>100479.16666666667</v>
      </c>
      <c r="M52" s="15">
        <f>IF(A52&lt;=Assumptions!$B$5,(I52+K52)*Assumptions!$B$10,0)</f>
        <v>0</v>
      </c>
      <c r="N52" s="15">
        <f t="shared" si="7"/>
        <v>122889.33662381212</v>
      </c>
      <c r="O52" s="15">
        <f t="shared" si="8"/>
        <v>-64597.121705170059</v>
      </c>
      <c r="P52" s="15">
        <f t="shared" si="9"/>
        <v>-399283.45247161202</v>
      </c>
    </row>
    <row r="53" spans="1:16" x14ac:dyDescent="0.3">
      <c r="A53" s="26">
        <v>50</v>
      </c>
      <c r="B53" s="5" t="str">
        <f t="shared" si="5"/>
        <v>Year 4</v>
      </c>
      <c r="C53" s="5">
        <f t="shared" si="6"/>
        <v>4</v>
      </c>
      <c r="D53" s="27">
        <f>IF(A53=Assumptions!$B$5,1,0)+IF(AND(A53&gt;Assumptions!$B$5,C53&gt;0),INDEX(Assumptions!$B$35:$B$39,C53),0)</f>
        <v>1.25</v>
      </c>
      <c r="E53" s="27">
        <f>E52*(1-Assumptions!$B$9)+D53</f>
        <v>24.217132677944974</v>
      </c>
      <c r="F53" s="15">
        <f>E53*Assumptions!$B$6</f>
        <v>60542.831694862434</v>
      </c>
      <c r="G53" s="15">
        <f>F53*Assumptions!$B$7</f>
        <v>6054.2831694862434</v>
      </c>
      <c r="H53" s="15">
        <f>E53*Assumptions!$B$8</f>
        <v>3511.4842383020214</v>
      </c>
      <c r="I53" s="15">
        <f>IF(A53&lt;=Assumptions!$B$5,Assumptions!$B$13+Assumptions!$B$14+Assumptions!$B$15+Assumptions!$B$16+IF(A53&gt;=Assumptions!$B$11,Assumptions!$B$17,0),SUM(Assumptions!$B$19:$B$24))</f>
        <v>5200</v>
      </c>
      <c r="J53" s="15">
        <f>IF(C53&gt;0,INDEX(Assumptions!$C$41:$C$45,C53),0)</f>
        <v>8000</v>
      </c>
      <c r="K53" s="15">
        <f>SUMIF(Assumptions!$B$27:$B$31,A53,Assumptions!$C$27:$C$31)</f>
        <v>0</v>
      </c>
      <c r="L53" s="15">
        <f>SUMPRODUCT((Assumptions!$E$48:$E$54&lt;=A53)*Assumptions!$F$48:$F$54)</f>
        <v>100479.16666666667</v>
      </c>
      <c r="M53" s="15">
        <f>IF(A53&lt;=Assumptions!$B$5,(I53+K53)*Assumptions!$B$10,0)</f>
        <v>0</v>
      </c>
      <c r="N53" s="15">
        <f t="shared" si="7"/>
        <v>123244.93407445494</v>
      </c>
      <c r="O53" s="15">
        <f t="shared" si="8"/>
        <v>-62702.102379592507</v>
      </c>
      <c r="P53" s="15">
        <f t="shared" si="9"/>
        <v>-461985.55485120451</v>
      </c>
    </row>
    <row r="54" spans="1:16" x14ac:dyDescent="0.3">
      <c r="A54" s="26">
        <v>51</v>
      </c>
      <c r="B54" s="5" t="str">
        <f t="shared" si="5"/>
        <v>Year 4</v>
      </c>
      <c r="C54" s="5">
        <f t="shared" si="6"/>
        <v>4</v>
      </c>
      <c r="D54" s="27">
        <f>IF(A54=Assumptions!$B$5,1,0)+IF(AND(A54&gt;Assumptions!$B$5,C54&gt;0),INDEX(Assumptions!$B$35:$B$39,C54),0)</f>
        <v>1.25</v>
      </c>
      <c r="E54" s="27">
        <f>E53*(1-Assumptions!$B$9)+D54</f>
        <v>25.103875687775798</v>
      </c>
      <c r="F54" s="15">
        <f>E54*Assumptions!$B$6</f>
        <v>62759.689219439497</v>
      </c>
      <c r="G54" s="15">
        <f>F54*Assumptions!$B$7</f>
        <v>6275.9689219439497</v>
      </c>
      <c r="H54" s="15">
        <f>E54*Assumptions!$B$8</f>
        <v>3640.0619747274905</v>
      </c>
      <c r="I54" s="15">
        <f>IF(A54&lt;=Assumptions!$B$5,Assumptions!$B$13+Assumptions!$B$14+Assumptions!$B$15+Assumptions!$B$16+IF(A54&gt;=Assumptions!$B$11,Assumptions!$B$17,0),SUM(Assumptions!$B$19:$B$24))</f>
        <v>5200</v>
      </c>
      <c r="J54" s="15">
        <f>IF(C54&gt;0,INDEX(Assumptions!$C$41:$C$45,C54),0)</f>
        <v>8000</v>
      </c>
      <c r="K54" s="15">
        <f>SUMIF(Assumptions!$B$27:$B$31,A54,Assumptions!$C$27:$C$31)</f>
        <v>0</v>
      </c>
      <c r="L54" s="15">
        <f>SUMPRODUCT((Assumptions!$E$48:$E$54&lt;=A54)*Assumptions!$F$48:$F$54)</f>
        <v>100479.16666666667</v>
      </c>
      <c r="M54" s="15">
        <f>IF(A54&lt;=Assumptions!$B$5,(I54+K54)*Assumptions!$B$10,0)</f>
        <v>0</v>
      </c>
      <c r="N54" s="15">
        <f t="shared" si="7"/>
        <v>123595.19756333811</v>
      </c>
      <c r="O54" s="15">
        <f t="shared" si="8"/>
        <v>-60835.508343898611</v>
      </c>
      <c r="P54" s="15">
        <f t="shared" si="9"/>
        <v>-522821.06319510314</v>
      </c>
    </row>
    <row r="55" spans="1:16" x14ac:dyDescent="0.3">
      <c r="A55" s="26">
        <v>52</v>
      </c>
      <c r="B55" s="5" t="str">
        <f t="shared" si="5"/>
        <v>Year 4</v>
      </c>
      <c r="C55" s="5">
        <f t="shared" si="6"/>
        <v>4</v>
      </c>
      <c r="D55" s="27">
        <f>IF(A55=Assumptions!$B$5,1,0)+IF(AND(A55&gt;Assumptions!$B$5,C55&gt;0),INDEX(Assumptions!$B$35:$B$39,C55),0)</f>
        <v>1.25</v>
      </c>
      <c r="E55" s="27">
        <f>E54*(1-Assumptions!$B$9)+D55</f>
        <v>25.977317552459159</v>
      </c>
      <c r="F55" s="15">
        <f>E55*Assumptions!$B$6</f>
        <v>64943.293881147896</v>
      </c>
      <c r="G55" s="15">
        <f>F55*Assumptions!$B$7</f>
        <v>6494.3293881147902</v>
      </c>
      <c r="H55" s="15">
        <f>E55*Assumptions!$B$8</f>
        <v>3766.7110451065778</v>
      </c>
      <c r="I55" s="15">
        <f>IF(A55&lt;=Assumptions!$B$5,Assumptions!$B$13+Assumptions!$B$14+Assumptions!$B$15+Assumptions!$B$16+IF(A55&gt;=Assumptions!$B$11,Assumptions!$B$17,0),SUM(Assumptions!$B$19:$B$24))</f>
        <v>5200</v>
      </c>
      <c r="J55" s="15">
        <f>IF(C55&gt;0,INDEX(Assumptions!$C$41:$C$45,C55),0)</f>
        <v>8000</v>
      </c>
      <c r="K55" s="15">
        <f>SUMIF(Assumptions!$B$27:$B$31,A55,Assumptions!$C$27:$C$31)</f>
        <v>0</v>
      </c>
      <c r="L55" s="15">
        <f>SUMPRODUCT((Assumptions!$E$48:$E$54&lt;=A55)*Assumptions!$F$48:$F$54)</f>
        <v>100479.16666666667</v>
      </c>
      <c r="M55" s="15">
        <f>IF(A55&lt;=Assumptions!$B$5,(I55+K55)*Assumptions!$B$10,0)</f>
        <v>0</v>
      </c>
      <c r="N55" s="15">
        <f t="shared" si="7"/>
        <v>123940.20709988804</v>
      </c>
      <c r="O55" s="15">
        <f t="shared" si="8"/>
        <v>-58996.913218740141</v>
      </c>
      <c r="P55" s="15">
        <f t="shared" si="9"/>
        <v>-581817.97641384322</v>
      </c>
    </row>
    <row r="56" spans="1:16" x14ac:dyDescent="0.3">
      <c r="A56" s="26">
        <v>53</v>
      </c>
      <c r="B56" s="5" t="str">
        <f t="shared" si="5"/>
        <v>Year 4</v>
      </c>
      <c r="C56" s="5">
        <f t="shared" si="6"/>
        <v>4</v>
      </c>
      <c r="D56" s="27">
        <f>IF(A56=Assumptions!$B$5,1,0)+IF(AND(A56&gt;Assumptions!$B$5,C56&gt;0),INDEX(Assumptions!$B$35:$B$39,C56),0)</f>
        <v>1.25</v>
      </c>
      <c r="E56" s="27">
        <f>E55*(1-Assumptions!$B$9)+D56</f>
        <v>26.837657789172273</v>
      </c>
      <c r="F56" s="15">
        <f>E56*Assumptions!$B$6</f>
        <v>67094.144472930682</v>
      </c>
      <c r="G56" s="15">
        <f>F56*Assumptions!$B$7</f>
        <v>6709.4144472930684</v>
      </c>
      <c r="H56" s="15">
        <f>E56*Assumptions!$B$8</f>
        <v>3891.4603794299796</v>
      </c>
      <c r="I56" s="15">
        <f>IF(A56&lt;=Assumptions!$B$5,Assumptions!$B$13+Assumptions!$B$14+Assumptions!$B$15+Assumptions!$B$16+IF(A56&gt;=Assumptions!$B$11,Assumptions!$B$17,0),SUM(Assumptions!$B$19:$B$24))</f>
        <v>5200</v>
      </c>
      <c r="J56" s="15">
        <f>IF(C56&gt;0,INDEX(Assumptions!$C$41:$C$45,C56),0)</f>
        <v>8000</v>
      </c>
      <c r="K56" s="15">
        <f>SUMIF(Assumptions!$B$27:$B$31,A56,Assumptions!$C$27:$C$31)</f>
        <v>0</v>
      </c>
      <c r="L56" s="15">
        <f>SUMPRODUCT((Assumptions!$E$48:$E$54&lt;=A56)*Assumptions!$F$48:$F$54)</f>
        <v>100479.16666666667</v>
      </c>
      <c r="M56" s="15">
        <f>IF(A56&lt;=Assumptions!$B$5,(I56+K56)*Assumptions!$B$10,0)</f>
        <v>0</v>
      </c>
      <c r="N56" s="15">
        <f t="shared" si="7"/>
        <v>124280.04149338973</v>
      </c>
      <c r="O56" s="15">
        <f t="shared" si="8"/>
        <v>-57185.897020459044</v>
      </c>
      <c r="P56" s="15">
        <f t="shared" si="9"/>
        <v>-639003.87343430228</v>
      </c>
    </row>
    <row r="57" spans="1:16" x14ac:dyDescent="0.3">
      <c r="A57" s="26">
        <v>54</v>
      </c>
      <c r="B57" s="5" t="str">
        <f t="shared" si="5"/>
        <v>Year 4</v>
      </c>
      <c r="C57" s="5">
        <f t="shared" si="6"/>
        <v>4</v>
      </c>
      <c r="D57" s="27">
        <f>IF(A57=Assumptions!$B$5,1,0)+IF(AND(A57&gt;Assumptions!$B$5,C57&gt;0),INDEX(Assumptions!$B$35:$B$39,C57),0)</f>
        <v>1.25</v>
      </c>
      <c r="E57" s="27">
        <f>E56*(1-Assumptions!$B$9)+D57</f>
        <v>27.68509292233469</v>
      </c>
      <c r="F57" s="15">
        <f>E57*Assumptions!$B$6</f>
        <v>69212.732305836718</v>
      </c>
      <c r="G57" s="15">
        <f>F57*Assumptions!$B$7</f>
        <v>6921.2732305836726</v>
      </c>
      <c r="H57" s="15">
        <f>E57*Assumptions!$B$8</f>
        <v>4014.33847373853</v>
      </c>
      <c r="I57" s="15">
        <f>IF(A57&lt;=Assumptions!$B$5,Assumptions!$B$13+Assumptions!$B$14+Assumptions!$B$15+Assumptions!$B$16+IF(A57&gt;=Assumptions!$B$11,Assumptions!$B$17,0),SUM(Assumptions!$B$19:$B$24))</f>
        <v>5200</v>
      </c>
      <c r="J57" s="15">
        <f>IF(C57&gt;0,INDEX(Assumptions!$C$41:$C$45,C57),0)</f>
        <v>8000</v>
      </c>
      <c r="K57" s="15">
        <f>SUMIF(Assumptions!$B$27:$B$31,A57,Assumptions!$C$27:$C$31)</f>
        <v>0</v>
      </c>
      <c r="L57" s="15">
        <f>SUMPRODUCT((Assumptions!$E$48:$E$54&lt;=A57)*Assumptions!$F$48:$F$54)</f>
        <v>100479.16666666667</v>
      </c>
      <c r="M57" s="15">
        <f>IF(A57&lt;=Assumptions!$B$5,(I57+K57)*Assumptions!$B$10,0)</f>
        <v>0</v>
      </c>
      <c r="N57" s="15">
        <f t="shared" si="7"/>
        <v>124614.77837098888</v>
      </c>
      <c r="O57" s="15">
        <f t="shared" si="8"/>
        <v>-55402.046065152157</v>
      </c>
      <c r="P57" s="15">
        <f t="shared" si="9"/>
        <v>-694405.91949945444</v>
      </c>
    </row>
    <row r="58" spans="1:16" x14ac:dyDescent="0.3">
      <c r="A58" s="26">
        <v>55</v>
      </c>
      <c r="B58" s="5" t="str">
        <f t="shared" si="5"/>
        <v>Year 4</v>
      </c>
      <c r="C58" s="5">
        <f t="shared" si="6"/>
        <v>4</v>
      </c>
      <c r="D58" s="27">
        <f>IF(A58=Assumptions!$B$5,1,0)+IF(AND(A58&gt;Assumptions!$B$5,C58&gt;0),INDEX(Assumptions!$B$35:$B$39,C58),0)</f>
        <v>1.25</v>
      </c>
      <c r="E58" s="27">
        <f>E57*(1-Assumptions!$B$9)+D58</f>
        <v>28.519816528499668</v>
      </c>
      <c r="F58" s="15">
        <f>E58*Assumptions!$B$6</f>
        <v>71299.541321249169</v>
      </c>
      <c r="G58" s="15">
        <f>F58*Assumptions!$B$7</f>
        <v>7129.9541321249171</v>
      </c>
      <c r="H58" s="15">
        <f>E58*Assumptions!$B$8</f>
        <v>4135.3733966324517</v>
      </c>
      <c r="I58" s="15">
        <f>IF(A58&lt;=Assumptions!$B$5,Assumptions!$B$13+Assumptions!$B$14+Assumptions!$B$15+Assumptions!$B$16+IF(A58&gt;=Assumptions!$B$11,Assumptions!$B$17,0),SUM(Assumptions!$B$19:$B$24))</f>
        <v>5200</v>
      </c>
      <c r="J58" s="15">
        <f>IF(C58&gt;0,INDEX(Assumptions!$C$41:$C$45,C58),0)</f>
        <v>8000</v>
      </c>
      <c r="K58" s="15">
        <f>SUMIF(Assumptions!$B$27:$B$31,A58,Assumptions!$C$27:$C$31)</f>
        <v>0</v>
      </c>
      <c r="L58" s="15">
        <f>SUMPRODUCT((Assumptions!$E$48:$E$54&lt;=A58)*Assumptions!$F$48:$F$54)</f>
        <v>100479.16666666667</v>
      </c>
      <c r="M58" s="15">
        <f>IF(A58&lt;=Assumptions!$B$5,(I58+K58)*Assumptions!$B$10,0)</f>
        <v>0</v>
      </c>
      <c r="N58" s="15">
        <f t="shared" si="7"/>
        <v>124944.49419542405</v>
      </c>
      <c r="O58" s="15">
        <f t="shared" si="8"/>
        <v>-53644.95287417488</v>
      </c>
      <c r="P58" s="15">
        <f t="shared" si="9"/>
        <v>-748050.87237362936</v>
      </c>
    </row>
    <row r="59" spans="1:16" x14ac:dyDescent="0.3">
      <c r="A59" s="26">
        <v>56</v>
      </c>
      <c r="B59" s="5" t="str">
        <f t="shared" si="5"/>
        <v>Year 4</v>
      </c>
      <c r="C59" s="5">
        <f t="shared" si="6"/>
        <v>4</v>
      </c>
      <c r="D59" s="27">
        <f>IF(A59=Assumptions!$B$5,1,0)+IF(AND(A59&gt;Assumptions!$B$5,C59&gt;0),INDEX(Assumptions!$B$35:$B$39,C59),0)</f>
        <v>1.25</v>
      </c>
      <c r="E59" s="27">
        <f>E58*(1-Assumptions!$B$9)+D59</f>
        <v>29.342019280572174</v>
      </c>
      <c r="F59" s="15">
        <f>E59*Assumptions!$B$6</f>
        <v>73355.048201430429</v>
      </c>
      <c r="G59" s="15">
        <f>F59*Assumptions!$B$7</f>
        <v>7335.5048201430436</v>
      </c>
      <c r="H59" s="15">
        <f>E59*Assumptions!$B$8</f>
        <v>4254.5927956829655</v>
      </c>
      <c r="I59" s="15">
        <f>IF(A59&lt;=Assumptions!$B$5,Assumptions!$B$13+Assumptions!$B$14+Assumptions!$B$15+Assumptions!$B$16+IF(A59&gt;=Assumptions!$B$11,Assumptions!$B$17,0),SUM(Assumptions!$B$19:$B$24))</f>
        <v>5200</v>
      </c>
      <c r="J59" s="15">
        <f>IF(C59&gt;0,INDEX(Assumptions!$C$41:$C$45,C59),0)</f>
        <v>8000</v>
      </c>
      <c r="K59" s="15">
        <f>SUMIF(Assumptions!$B$27:$B$31,A59,Assumptions!$C$27:$C$31)</f>
        <v>0</v>
      </c>
      <c r="L59" s="15">
        <f>SUMPRODUCT((Assumptions!$E$48:$E$54&lt;=A59)*Assumptions!$F$48:$F$54)</f>
        <v>100479.16666666667</v>
      </c>
      <c r="M59" s="15">
        <f>IF(A59&lt;=Assumptions!$B$5,(I59+K59)*Assumptions!$B$10,0)</f>
        <v>0</v>
      </c>
      <c r="N59" s="15">
        <f t="shared" si="7"/>
        <v>125269.26428249269</v>
      </c>
      <c r="O59" s="15">
        <f t="shared" si="8"/>
        <v>-51914.216081062259</v>
      </c>
      <c r="P59" s="15">
        <f t="shared" si="9"/>
        <v>-799965.08845469158</v>
      </c>
    </row>
    <row r="60" spans="1:16" x14ac:dyDescent="0.3">
      <c r="A60" s="26">
        <v>57</v>
      </c>
      <c r="B60" s="5" t="str">
        <f t="shared" si="5"/>
        <v>Year 4</v>
      </c>
      <c r="C60" s="5">
        <f t="shared" si="6"/>
        <v>4</v>
      </c>
      <c r="D60" s="27">
        <f>IF(A60=Assumptions!$B$5,1,0)+IF(AND(A60&gt;Assumptions!$B$5,C60&gt;0),INDEX(Assumptions!$B$35:$B$39,C60),0)</f>
        <v>1.25</v>
      </c>
      <c r="E60" s="27">
        <f>E59*(1-Assumptions!$B$9)+D60</f>
        <v>30.151888991363592</v>
      </c>
      <c r="F60" s="15">
        <f>E60*Assumptions!$B$6</f>
        <v>75379.722478408978</v>
      </c>
      <c r="G60" s="15">
        <f>F60*Assumptions!$B$7</f>
        <v>7537.9722478408985</v>
      </c>
      <c r="H60" s="15">
        <f>E60*Assumptions!$B$8</f>
        <v>4372.0239037477204</v>
      </c>
      <c r="I60" s="15">
        <f>IF(A60&lt;=Assumptions!$B$5,Assumptions!$B$13+Assumptions!$B$14+Assumptions!$B$15+Assumptions!$B$16+IF(A60&gt;=Assumptions!$B$11,Assumptions!$B$17,0),SUM(Assumptions!$B$19:$B$24))</f>
        <v>5200</v>
      </c>
      <c r="J60" s="15">
        <f>IF(C60&gt;0,INDEX(Assumptions!$C$41:$C$45,C60),0)</f>
        <v>8000</v>
      </c>
      <c r="K60" s="15">
        <f>SUMIF(Assumptions!$B$27:$B$31,A60,Assumptions!$C$27:$C$31)</f>
        <v>0</v>
      </c>
      <c r="L60" s="15">
        <f>SUMPRODUCT((Assumptions!$E$48:$E$54&lt;=A60)*Assumptions!$F$48:$F$54)</f>
        <v>100479.16666666667</v>
      </c>
      <c r="M60" s="15">
        <f>IF(A60&lt;=Assumptions!$B$5,(I60+K60)*Assumptions!$B$10,0)</f>
        <v>0</v>
      </c>
      <c r="N60" s="15">
        <f t="shared" si="7"/>
        <v>125589.16281825528</v>
      </c>
      <c r="O60" s="15">
        <f t="shared" si="8"/>
        <v>-50209.440339846304</v>
      </c>
      <c r="P60" s="15">
        <f t="shared" si="9"/>
        <v>-850174.52879453788</v>
      </c>
    </row>
    <row r="61" spans="1:16" x14ac:dyDescent="0.3">
      <c r="A61" s="26">
        <v>58</v>
      </c>
      <c r="B61" s="5" t="str">
        <f t="shared" si="5"/>
        <v>Year 4</v>
      </c>
      <c r="C61" s="5">
        <f t="shared" si="6"/>
        <v>4</v>
      </c>
      <c r="D61" s="27">
        <f>IF(A61=Assumptions!$B$5,1,0)+IF(AND(A61&gt;Assumptions!$B$5,C61&gt;0),INDEX(Assumptions!$B$35:$B$39,C61),0)</f>
        <v>1.25</v>
      </c>
      <c r="E61" s="27">
        <f>E60*(1-Assumptions!$B$9)+D61</f>
        <v>30.949610656493139</v>
      </c>
      <c r="F61" s="15">
        <f>E61*Assumptions!$B$6</f>
        <v>77374.026641232849</v>
      </c>
      <c r="G61" s="15">
        <f>F61*Assumptions!$B$7</f>
        <v>7737.4026641232849</v>
      </c>
      <c r="H61" s="15">
        <f>E61*Assumptions!$B$8</f>
        <v>4487.6935451915051</v>
      </c>
      <c r="I61" s="15">
        <f>IF(A61&lt;=Assumptions!$B$5,Assumptions!$B$13+Assumptions!$B$14+Assumptions!$B$15+Assumptions!$B$16+IF(A61&gt;=Assumptions!$B$11,Assumptions!$B$17,0),SUM(Assumptions!$B$19:$B$24))</f>
        <v>5200</v>
      </c>
      <c r="J61" s="15">
        <f>IF(C61&gt;0,INDEX(Assumptions!$C$41:$C$45,C61),0)</f>
        <v>8000</v>
      </c>
      <c r="K61" s="15">
        <f>SUMIF(Assumptions!$B$27:$B$31,A61,Assumptions!$C$27:$C$31)</f>
        <v>0</v>
      </c>
      <c r="L61" s="15">
        <f>SUMPRODUCT((Assumptions!$E$48:$E$54&lt;=A61)*Assumptions!$F$48:$F$54)</f>
        <v>100479.16666666667</v>
      </c>
      <c r="M61" s="15">
        <f>IF(A61&lt;=Assumptions!$B$5,(I61+K61)*Assumptions!$B$10,0)</f>
        <v>0</v>
      </c>
      <c r="N61" s="15">
        <f t="shared" si="7"/>
        <v>125904.26287598145</v>
      </c>
      <c r="O61" s="15">
        <f t="shared" si="8"/>
        <v>-48530.236234748605</v>
      </c>
      <c r="P61" s="15">
        <f t="shared" si="9"/>
        <v>-898704.7650292865</v>
      </c>
    </row>
    <row r="62" spans="1:16" x14ac:dyDescent="0.3">
      <c r="A62" s="26">
        <v>59</v>
      </c>
      <c r="B62" s="5" t="str">
        <f t="shared" si="5"/>
        <v>Year 4</v>
      </c>
      <c r="C62" s="5">
        <f t="shared" si="6"/>
        <v>4</v>
      </c>
      <c r="D62" s="27">
        <f>IF(A62=Assumptions!$B$5,1,0)+IF(AND(A62&gt;Assumptions!$B$5,C62&gt;0),INDEX(Assumptions!$B$35:$B$39,C62),0)</f>
        <v>1.25</v>
      </c>
      <c r="E62" s="27">
        <f>E61*(1-Assumptions!$B$9)+D62</f>
        <v>31.735366496645742</v>
      </c>
      <c r="F62" s="15">
        <f>E62*Assumptions!$B$6</f>
        <v>79338.416241614352</v>
      </c>
      <c r="G62" s="15">
        <f>F62*Assumptions!$B$7</f>
        <v>7933.8416241614359</v>
      </c>
      <c r="H62" s="15">
        <f>E62*Assumptions!$B$8</f>
        <v>4601.6281420136329</v>
      </c>
      <c r="I62" s="15">
        <f>IF(A62&lt;=Assumptions!$B$5,Assumptions!$B$13+Assumptions!$B$14+Assumptions!$B$15+Assumptions!$B$16+IF(A62&gt;=Assumptions!$B$11,Assumptions!$B$17,0),SUM(Assumptions!$B$19:$B$24))</f>
        <v>5200</v>
      </c>
      <c r="J62" s="15">
        <f>IF(C62&gt;0,INDEX(Assumptions!$C$41:$C$45,C62),0)</f>
        <v>8000</v>
      </c>
      <c r="K62" s="15">
        <f>SUMIF(Assumptions!$B$27:$B$31,A62,Assumptions!$C$27:$C$31)</f>
        <v>0</v>
      </c>
      <c r="L62" s="15">
        <f>SUMPRODUCT((Assumptions!$E$48:$E$54&lt;=A62)*Assumptions!$F$48:$F$54)</f>
        <v>100479.16666666667</v>
      </c>
      <c r="M62" s="15">
        <f>IF(A62&lt;=Assumptions!$B$5,(I62+K62)*Assumptions!$B$10,0)</f>
        <v>0</v>
      </c>
      <c r="N62" s="15">
        <f t="shared" si="7"/>
        <v>126214.63643284174</v>
      </c>
      <c r="O62" s="15">
        <f t="shared" si="8"/>
        <v>-46876.220191227389</v>
      </c>
      <c r="P62" s="15">
        <f t="shared" si="9"/>
        <v>-945580.98522051389</v>
      </c>
    </row>
    <row r="63" spans="1:16" x14ac:dyDescent="0.3">
      <c r="A63" s="26">
        <v>60</v>
      </c>
      <c r="B63" s="5" t="str">
        <f t="shared" si="5"/>
        <v>Year 4</v>
      </c>
      <c r="C63" s="5">
        <f t="shared" si="6"/>
        <v>4</v>
      </c>
      <c r="D63" s="27">
        <f>IF(A63=Assumptions!$B$5,1,0)+IF(AND(A63&gt;Assumptions!$B$5,C63&gt;0),INDEX(Assumptions!$B$35:$B$39,C63),0)</f>
        <v>1.25</v>
      </c>
      <c r="E63" s="27">
        <f>E62*(1-Assumptions!$B$9)+D63</f>
        <v>32.509335999196054</v>
      </c>
      <c r="F63" s="15">
        <f>E63*Assumptions!$B$6</f>
        <v>81273.33999799013</v>
      </c>
      <c r="G63" s="15">
        <f>F63*Assumptions!$B$7</f>
        <v>8127.3339997990133</v>
      </c>
      <c r="H63" s="15">
        <f>E63*Assumptions!$B$8</f>
        <v>4713.8537198834274</v>
      </c>
      <c r="I63" s="15">
        <f>IF(A63&lt;=Assumptions!$B$5,Assumptions!$B$13+Assumptions!$B$14+Assumptions!$B$15+Assumptions!$B$16+IF(A63&gt;=Assumptions!$B$11,Assumptions!$B$17,0),SUM(Assumptions!$B$19:$B$24))</f>
        <v>5200</v>
      </c>
      <c r="J63" s="15">
        <f>IF(C63&gt;0,INDEX(Assumptions!$C$41:$C$45,C63),0)</f>
        <v>8000</v>
      </c>
      <c r="K63" s="15">
        <f>SUMIF(Assumptions!$B$27:$B$31,A63,Assumptions!$C$27:$C$31)</f>
        <v>0</v>
      </c>
      <c r="L63" s="15">
        <f>SUMPRODUCT((Assumptions!$E$48:$E$54&lt;=A63)*Assumptions!$F$48:$F$54)</f>
        <v>100479.16666666667</v>
      </c>
      <c r="M63" s="15">
        <f>IF(A63&lt;=Assumptions!$B$5,(I63+K63)*Assumptions!$B$10,0)</f>
        <v>0</v>
      </c>
      <c r="N63" s="15">
        <f t="shared" si="7"/>
        <v>126520.35438634912</v>
      </c>
      <c r="O63" s="15">
        <f t="shared" si="8"/>
        <v>-45247.014388358992</v>
      </c>
      <c r="P63" s="15">
        <f t="shared" si="9"/>
        <v>-990827.99960887292</v>
      </c>
    </row>
    <row r="64" spans="1:16" x14ac:dyDescent="0.3">
      <c r="A64" s="26">
        <v>61</v>
      </c>
      <c r="B64" s="5" t="str">
        <f t="shared" si="5"/>
        <v>Year 5</v>
      </c>
      <c r="C64" s="5">
        <f t="shared" si="6"/>
        <v>5</v>
      </c>
      <c r="D64" s="27">
        <f>IF(A64=Assumptions!$B$5,1,0)+IF(AND(A64&gt;Assumptions!$B$5,C64&gt;0),INDEX(Assumptions!$B$35:$B$39,C64),0)</f>
        <v>1.5</v>
      </c>
      <c r="E64" s="27">
        <f>E63*(1-Assumptions!$B$9)+D64</f>
        <v>33.52169595920811</v>
      </c>
      <c r="F64" s="15">
        <f>E64*Assumptions!$B$6</f>
        <v>83804.239898020271</v>
      </c>
      <c r="G64" s="15">
        <f>F64*Assumptions!$B$7</f>
        <v>8380.4239898020278</v>
      </c>
      <c r="H64" s="15">
        <f>E64*Assumptions!$B$8</f>
        <v>4860.6459140851757</v>
      </c>
      <c r="I64" s="15">
        <f>IF(A64&lt;=Assumptions!$B$5,Assumptions!$B$13+Assumptions!$B$14+Assumptions!$B$15+Assumptions!$B$16+IF(A64&gt;=Assumptions!$B$11,Assumptions!$B$17,0),SUM(Assumptions!$B$19:$B$24))</f>
        <v>5200</v>
      </c>
      <c r="J64" s="15">
        <f>IF(C64&gt;0,INDEX(Assumptions!$C$41:$C$45,C64),0)</f>
        <v>12000</v>
      </c>
      <c r="K64" s="15">
        <f>SUMIF(Assumptions!$B$27:$B$31,A64,Assumptions!$C$27:$C$31)</f>
        <v>0</v>
      </c>
      <c r="L64" s="15">
        <f>SUMPRODUCT((Assumptions!$E$48:$E$54&lt;=A64)*Assumptions!$F$48:$F$54)</f>
        <v>138190</v>
      </c>
      <c r="M64" s="15">
        <f>IF(A64&lt;=Assumptions!$B$5,(I64+K64)*Assumptions!$B$10,0)</f>
        <v>0</v>
      </c>
      <c r="N64" s="15">
        <f t="shared" si="7"/>
        <v>168631.0699038872</v>
      </c>
      <c r="O64" s="15">
        <f t="shared" si="8"/>
        <v>-84826.830005866927</v>
      </c>
      <c r="P64" s="15">
        <f t="shared" si="9"/>
        <v>-1075654.8296147399</v>
      </c>
    </row>
    <row r="65" spans="1:16" x14ac:dyDescent="0.3">
      <c r="A65" s="26">
        <v>62</v>
      </c>
      <c r="B65" s="5" t="str">
        <f t="shared" si="5"/>
        <v>Year 5</v>
      </c>
      <c r="C65" s="5">
        <f t="shared" si="6"/>
        <v>5</v>
      </c>
      <c r="D65" s="27">
        <f>IF(A65=Assumptions!$B$5,1,0)+IF(AND(A65&gt;Assumptions!$B$5,C65&gt;0),INDEX(Assumptions!$B$35:$B$39,C65),0)</f>
        <v>1.5</v>
      </c>
      <c r="E65" s="27">
        <f>E64*(1-Assumptions!$B$9)+D65</f>
        <v>34.518870519819984</v>
      </c>
      <c r="F65" s="15">
        <f>E65*Assumptions!$B$6</f>
        <v>86297.176299549959</v>
      </c>
      <c r="G65" s="15">
        <f>F65*Assumptions!$B$7</f>
        <v>8629.7176299549956</v>
      </c>
      <c r="H65" s="15">
        <f>E65*Assumptions!$B$8</f>
        <v>5005.2362253738975</v>
      </c>
      <c r="I65" s="15">
        <f>IF(A65&lt;=Assumptions!$B$5,Assumptions!$B$13+Assumptions!$B$14+Assumptions!$B$15+Assumptions!$B$16+IF(A65&gt;=Assumptions!$B$11,Assumptions!$B$17,0),SUM(Assumptions!$B$19:$B$24))</f>
        <v>5200</v>
      </c>
      <c r="J65" s="15">
        <f>IF(C65&gt;0,INDEX(Assumptions!$C$41:$C$45,C65),0)</f>
        <v>12000</v>
      </c>
      <c r="K65" s="15">
        <f>SUMIF(Assumptions!$B$27:$B$31,A65,Assumptions!$C$27:$C$31)</f>
        <v>0</v>
      </c>
      <c r="L65" s="15">
        <f>SUMPRODUCT((Assumptions!$E$48:$E$54&lt;=A65)*Assumptions!$F$48:$F$54)</f>
        <v>138190</v>
      </c>
      <c r="M65" s="15">
        <f>IF(A65&lt;=Assumptions!$B$5,(I65+K65)*Assumptions!$B$10,0)</f>
        <v>0</v>
      </c>
      <c r="N65" s="15">
        <f t="shared" si="7"/>
        <v>169024.9538553289</v>
      </c>
      <c r="O65" s="15">
        <f t="shared" si="8"/>
        <v>-82727.777555778943</v>
      </c>
      <c r="P65" s="15">
        <f t="shared" si="9"/>
        <v>-1158382.6071705187</v>
      </c>
    </row>
    <row r="66" spans="1:16" x14ac:dyDescent="0.3">
      <c r="A66" s="26">
        <v>63</v>
      </c>
      <c r="B66" s="5" t="str">
        <f t="shared" si="5"/>
        <v>Year 5</v>
      </c>
      <c r="C66" s="5">
        <f t="shared" si="6"/>
        <v>5</v>
      </c>
      <c r="D66" s="27">
        <f>IF(A66=Assumptions!$B$5,1,0)+IF(AND(A66&gt;Assumptions!$B$5,C66&gt;0),INDEX(Assumptions!$B$35:$B$39,C66),0)</f>
        <v>1.5</v>
      </c>
      <c r="E66" s="27">
        <f>E65*(1-Assumptions!$B$9)+D66</f>
        <v>35.501087462022682</v>
      </c>
      <c r="F66" s="15">
        <f>E66*Assumptions!$B$6</f>
        <v>88752.718655056698</v>
      </c>
      <c r="G66" s="15">
        <f>F66*Assumptions!$B$7</f>
        <v>8875.2718655056706</v>
      </c>
      <c r="H66" s="15">
        <f>E66*Assumptions!$B$8</f>
        <v>5147.6576819932889</v>
      </c>
      <c r="I66" s="15">
        <f>IF(A66&lt;=Assumptions!$B$5,Assumptions!$B$13+Assumptions!$B$14+Assumptions!$B$15+Assumptions!$B$16+IF(A66&gt;=Assumptions!$B$11,Assumptions!$B$17,0),SUM(Assumptions!$B$19:$B$24))</f>
        <v>5200</v>
      </c>
      <c r="J66" s="15">
        <f>IF(C66&gt;0,INDEX(Assumptions!$C$41:$C$45,C66),0)</f>
        <v>12000</v>
      </c>
      <c r="K66" s="15">
        <f>SUMIF(Assumptions!$B$27:$B$31,A66,Assumptions!$C$27:$C$31)</f>
        <v>0</v>
      </c>
      <c r="L66" s="15">
        <f>SUMPRODUCT((Assumptions!$E$48:$E$54&lt;=A66)*Assumptions!$F$48:$F$54)</f>
        <v>138190</v>
      </c>
      <c r="M66" s="15">
        <f>IF(A66&lt;=Assumptions!$B$5,(I66+K66)*Assumptions!$B$10,0)</f>
        <v>0</v>
      </c>
      <c r="N66" s="15">
        <f t="shared" si="7"/>
        <v>169412.92954749896</v>
      </c>
      <c r="O66" s="15">
        <f t="shared" si="8"/>
        <v>-80660.210892442265</v>
      </c>
      <c r="P66" s="15">
        <f t="shared" si="9"/>
        <v>-1239042.8180629611</v>
      </c>
    </row>
    <row r="67" spans="1:16" x14ac:dyDescent="0.3">
      <c r="A67" s="26">
        <v>64</v>
      </c>
      <c r="B67" s="5" t="str">
        <f t="shared" si="5"/>
        <v>Year 5</v>
      </c>
      <c r="C67" s="5">
        <f t="shared" si="6"/>
        <v>5</v>
      </c>
      <c r="D67" s="27">
        <f>IF(A67=Assumptions!$B$5,1,0)+IF(AND(A67&gt;Assumptions!$B$5,C67&gt;0),INDEX(Assumptions!$B$35:$B$39,C67),0)</f>
        <v>1.5</v>
      </c>
      <c r="E67" s="27">
        <f>E66*(1-Assumptions!$B$9)+D67</f>
        <v>36.468571150092338</v>
      </c>
      <c r="F67" s="15">
        <f>E67*Assumptions!$B$6</f>
        <v>91171.427875230846</v>
      </c>
      <c r="G67" s="15">
        <f>F67*Assumptions!$B$7</f>
        <v>9117.1427875230856</v>
      </c>
      <c r="H67" s="15">
        <f>E67*Assumptions!$B$8</f>
        <v>5287.9428167633887</v>
      </c>
      <c r="I67" s="15">
        <f>IF(A67&lt;=Assumptions!$B$5,Assumptions!$B$13+Assumptions!$B$14+Assumptions!$B$15+Assumptions!$B$16+IF(A67&gt;=Assumptions!$B$11,Assumptions!$B$17,0),SUM(Assumptions!$B$19:$B$24))</f>
        <v>5200</v>
      </c>
      <c r="J67" s="15">
        <f>IF(C67&gt;0,INDEX(Assumptions!$C$41:$C$45,C67),0)</f>
        <v>12000</v>
      </c>
      <c r="K67" s="15">
        <f>SUMIF(Assumptions!$B$27:$B$31,A67,Assumptions!$C$27:$C$31)</f>
        <v>0</v>
      </c>
      <c r="L67" s="15">
        <f>SUMPRODUCT((Assumptions!$E$48:$E$54&lt;=A67)*Assumptions!$F$48:$F$54)</f>
        <v>138190</v>
      </c>
      <c r="M67" s="15">
        <f>IF(A67&lt;=Assumptions!$B$5,(I67+K67)*Assumptions!$B$10,0)</f>
        <v>0</v>
      </c>
      <c r="N67" s="15">
        <f t="shared" si="7"/>
        <v>169795.08560428646</v>
      </c>
      <c r="O67" s="15">
        <f t="shared" si="8"/>
        <v>-78623.657729055616</v>
      </c>
      <c r="P67" s="15">
        <f t="shared" si="9"/>
        <v>-1317666.4757920168</v>
      </c>
    </row>
    <row r="68" spans="1:16" x14ac:dyDescent="0.3">
      <c r="A68" s="26">
        <v>65</v>
      </c>
      <c r="B68" s="5" t="str">
        <f t="shared" ref="B68:B99" si="10">"Year "&amp;INT((A68-1)/12)</f>
        <v>Year 5</v>
      </c>
      <c r="C68" s="5">
        <f t="shared" ref="C68:C75" si="11">IF(A68&lt;=12,0,INT((A68-13)/12)+1)</f>
        <v>5</v>
      </c>
      <c r="D68" s="27">
        <f>IF(A68=Assumptions!$B$5,1,0)+IF(AND(A68&gt;Assumptions!$B$5,C68&gt;0),INDEX(Assumptions!$B$35:$B$39,C68),0)</f>
        <v>1.5</v>
      </c>
      <c r="E68" s="27">
        <f>E67*(1-Assumptions!$B$9)+D68</f>
        <v>37.421542582840949</v>
      </c>
      <c r="F68" s="15">
        <f>E68*Assumptions!$B$6</f>
        <v>93553.856457102374</v>
      </c>
      <c r="G68" s="15">
        <f>F68*Assumptions!$B$7</f>
        <v>9355.3856457102374</v>
      </c>
      <c r="H68" s="15">
        <f>E68*Assumptions!$B$8</f>
        <v>5426.1236745119377</v>
      </c>
      <c r="I68" s="15">
        <f>IF(A68&lt;=Assumptions!$B$5,Assumptions!$B$13+Assumptions!$B$14+Assumptions!$B$15+Assumptions!$B$16+IF(A68&gt;=Assumptions!$B$11,Assumptions!$B$17,0),SUM(Assumptions!$B$19:$B$24))</f>
        <v>5200</v>
      </c>
      <c r="J68" s="15">
        <f>IF(C68&gt;0,INDEX(Assumptions!$C$41:$C$45,C68),0)</f>
        <v>12000</v>
      </c>
      <c r="K68" s="15">
        <f>SUMIF(Assumptions!$B$27:$B$31,A68,Assumptions!$C$27:$C$31)</f>
        <v>0</v>
      </c>
      <c r="L68" s="15">
        <f>SUMPRODUCT((Assumptions!$E$48:$E$54&lt;=A68)*Assumptions!$F$48:$F$54)</f>
        <v>138190</v>
      </c>
      <c r="M68" s="15">
        <f>IF(A68&lt;=Assumptions!$B$5,(I68+K68)*Assumptions!$B$10,0)</f>
        <v>0</v>
      </c>
      <c r="N68" s="15">
        <f t="shared" ref="N68:N99" si="12">SUM(G68:M68)</f>
        <v>170171.50932022219</v>
      </c>
      <c r="O68" s="15">
        <f t="shared" ref="O68:O99" si="13">F68-N68</f>
        <v>-76617.652863119816</v>
      </c>
      <c r="P68" s="15">
        <f t="shared" si="9"/>
        <v>-1394284.1286551366</v>
      </c>
    </row>
    <row r="69" spans="1:16" x14ac:dyDescent="0.3">
      <c r="A69" s="26">
        <v>66</v>
      </c>
      <c r="B69" s="5" t="str">
        <f t="shared" si="10"/>
        <v>Year 5</v>
      </c>
      <c r="C69" s="5">
        <f t="shared" si="11"/>
        <v>5</v>
      </c>
      <c r="D69" s="27">
        <f>IF(A69=Assumptions!$B$5,1,0)+IF(AND(A69&gt;Assumptions!$B$5,C69&gt;0),INDEX(Assumptions!$B$35:$B$39,C69),0)</f>
        <v>1.5</v>
      </c>
      <c r="E69" s="27">
        <f>E68*(1-Assumptions!$B$9)+D69</f>
        <v>38.360219444098334</v>
      </c>
      <c r="F69" s="15">
        <f>E69*Assumptions!$B$6</f>
        <v>95900.548610245838</v>
      </c>
      <c r="G69" s="15">
        <f>F69*Assumptions!$B$7</f>
        <v>9590.0548610245842</v>
      </c>
      <c r="H69" s="15">
        <f>E69*Assumptions!$B$8</f>
        <v>5562.2318193942583</v>
      </c>
      <c r="I69" s="15">
        <f>IF(A69&lt;=Assumptions!$B$5,Assumptions!$B$13+Assumptions!$B$14+Assumptions!$B$15+Assumptions!$B$16+IF(A69&gt;=Assumptions!$B$11,Assumptions!$B$17,0),SUM(Assumptions!$B$19:$B$24))</f>
        <v>5200</v>
      </c>
      <c r="J69" s="15">
        <f>IF(C69&gt;0,INDEX(Assumptions!$C$41:$C$45,C69),0)</f>
        <v>12000</v>
      </c>
      <c r="K69" s="15">
        <f>SUMIF(Assumptions!$B$27:$B$31,A69,Assumptions!$C$27:$C$31)</f>
        <v>0</v>
      </c>
      <c r="L69" s="15">
        <f>SUMPRODUCT((Assumptions!$E$48:$E$54&lt;=A69)*Assumptions!$F$48:$F$54)</f>
        <v>138190</v>
      </c>
      <c r="M69" s="15">
        <f>IF(A69&lt;=Assumptions!$B$5,(I69+K69)*Assumptions!$B$10,0)</f>
        <v>0</v>
      </c>
      <c r="N69" s="15">
        <f t="shared" si="12"/>
        <v>170542.28668041885</v>
      </c>
      <c r="O69" s="15">
        <f t="shared" si="13"/>
        <v>-74641.738070173014</v>
      </c>
      <c r="P69" s="15">
        <f t="shared" ref="P69:P100" si="14">P68+O69</f>
        <v>-1468925.8667253095</v>
      </c>
    </row>
    <row r="70" spans="1:16" x14ac:dyDescent="0.3">
      <c r="A70" s="26">
        <v>67</v>
      </c>
      <c r="B70" s="5" t="str">
        <f t="shared" si="10"/>
        <v>Year 5</v>
      </c>
      <c r="C70" s="5">
        <f t="shared" si="11"/>
        <v>5</v>
      </c>
      <c r="D70" s="27">
        <f>IF(A70=Assumptions!$B$5,1,0)+IF(AND(A70&gt;Assumptions!$B$5,C70&gt;0),INDEX(Assumptions!$B$35:$B$39,C70),0)</f>
        <v>1.5</v>
      </c>
      <c r="E70" s="27">
        <f>E69*(1-Assumptions!$B$9)+D70</f>
        <v>39.284816152436861</v>
      </c>
      <c r="F70" s="15">
        <f>E70*Assumptions!$B$6</f>
        <v>98212.040381092156</v>
      </c>
      <c r="G70" s="15">
        <f>F70*Assumptions!$B$7</f>
        <v>9821.2040381092156</v>
      </c>
      <c r="H70" s="15">
        <f>E70*Assumptions!$B$8</f>
        <v>5696.298342103345</v>
      </c>
      <c r="I70" s="15">
        <f>IF(A70&lt;=Assumptions!$B$5,Assumptions!$B$13+Assumptions!$B$14+Assumptions!$B$15+Assumptions!$B$16+IF(A70&gt;=Assumptions!$B$11,Assumptions!$B$17,0),SUM(Assumptions!$B$19:$B$24))</f>
        <v>5200</v>
      </c>
      <c r="J70" s="15">
        <f>IF(C70&gt;0,INDEX(Assumptions!$C$41:$C$45,C70),0)</f>
        <v>12000</v>
      </c>
      <c r="K70" s="15">
        <f>SUMIF(Assumptions!$B$27:$B$31,A70,Assumptions!$C$27:$C$31)</f>
        <v>0</v>
      </c>
      <c r="L70" s="15">
        <f>SUMPRODUCT((Assumptions!$E$48:$E$54&lt;=A70)*Assumptions!$F$48:$F$54)</f>
        <v>138190</v>
      </c>
      <c r="M70" s="15">
        <f>IF(A70&lt;=Assumptions!$B$5,(I70+K70)*Assumptions!$B$10,0)</f>
        <v>0</v>
      </c>
      <c r="N70" s="15">
        <f t="shared" si="12"/>
        <v>170907.50238021257</v>
      </c>
      <c r="O70" s="15">
        <f t="shared" si="13"/>
        <v>-72695.461999120409</v>
      </c>
      <c r="P70" s="15">
        <f t="shared" si="14"/>
        <v>-1541621.3287244299</v>
      </c>
    </row>
    <row r="71" spans="1:16" x14ac:dyDescent="0.3">
      <c r="A71" s="26">
        <v>68</v>
      </c>
      <c r="B71" s="5" t="str">
        <f t="shared" si="10"/>
        <v>Year 5</v>
      </c>
      <c r="C71" s="5">
        <f t="shared" si="11"/>
        <v>5</v>
      </c>
      <c r="D71" s="27">
        <f>IF(A71=Assumptions!$B$5,1,0)+IF(AND(A71&gt;Assumptions!$B$5,C71&gt;0),INDEX(Assumptions!$B$35:$B$39,C71),0)</f>
        <v>1.5</v>
      </c>
      <c r="E71" s="27">
        <f>E70*(1-Assumptions!$B$9)+D71</f>
        <v>40.195543910150306</v>
      </c>
      <c r="F71" s="15">
        <f>E71*Assumptions!$B$6</f>
        <v>100488.85977537576</v>
      </c>
      <c r="G71" s="15">
        <f>F71*Assumptions!$B$7</f>
        <v>10048.885977537577</v>
      </c>
      <c r="H71" s="15">
        <f>E71*Assumptions!$B$8</f>
        <v>5828.3538669717946</v>
      </c>
      <c r="I71" s="15">
        <f>IF(A71&lt;=Assumptions!$B$5,Assumptions!$B$13+Assumptions!$B$14+Assumptions!$B$15+Assumptions!$B$16+IF(A71&gt;=Assumptions!$B$11,Assumptions!$B$17,0),SUM(Assumptions!$B$19:$B$24))</f>
        <v>5200</v>
      </c>
      <c r="J71" s="15">
        <f>IF(C71&gt;0,INDEX(Assumptions!$C$41:$C$45,C71),0)</f>
        <v>12000</v>
      </c>
      <c r="K71" s="15">
        <f>SUMIF(Assumptions!$B$27:$B$31,A71,Assumptions!$C$27:$C$31)</f>
        <v>0</v>
      </c>
      <c r="L71" s="15">
        <f>SUMPRODUCT((Assumptions!$E$48:$E$54&lt;=A71)*Assumptions!$F$48:$F$54)</f>
        <v>138190</v>
      </c>
      <c r="M71" s="15">
        <f>IF(A71&lt;=Assumptions!$B$5,(I71+K71)*Assumptions!$B$10,0)</f>
        <v>0</v>
      </c>
      <c r="N71" s="15">
        <f t="shared" si="12"/>
        <v>171267.23984450937</v>
      </c>
      <c r="O71" s="15">
        <f t="shared" si="13"/>
        <v>-70778.380069133607</v>
      </c>
      <c r="P71" s="15">
        <f t="shared" si="14"/>
        <v>-1612399.7087935635</v>
      </c>
    </row>
    <row r="72" spans="1:16" x14ac:dyDescent="0.3">
      <c r="A72" s="26">
        <v>69</v>
      </c>
      <c r="B72" s="5" t="str">
        <f t="shared" si="10"/>
        <v>Year 5</v>
      </c>
      <c r="C72" s="5">
        <f t="shared" si="11"/>
        <v>5</v>
      </c>
      <c r="D72" s="27">
        <f>IF(A72=Assumptions!$B$5,1,0)+IF(AND(A72&gt;Assumptions!$B$5,C72&gt;0),INDEX(Assumptions!$B$35:$B$39,C72),0)</f>
        <v>1.5</v>
      </c>
      <c r="E72" s="27">
        <f>E71*(1-Assumptions!$B$9)+D72</f>
        <v>41.09261075149805</v>
      </c>
      <c r="F72" s="15">
        <f>E72*Assumptions!$B$6</f>
        <v>102731.52687874512</v>
      </c>
      <c r="G72" s="15">
        <f>F72*Assumptions!$B$7</f>
        <v>10273.152687874514</v>
      </c>
      <c r="H72" s="15">
        <f>E72*Assumptions!$B$8</f>
        <v>5958.4285589672172</v>
      </c>
      <c r="I72" s="15">
        <f>IF(A72&lt;=Assumptions!$B$5,Assumptions!$B$13+Assumptions!$B$14+Assumptions!$B$15+Assumptions!$B$16+IF(A72&gt;=Assumptions!$B$11,Assumptions!$B$17,0),SUM(Assumptions!$B$19:$B$24))</f>
        <v>5200</v>
      </c>
      <c r="J72" s="15">
        <f>IF(C72&gt;0,INDEX(Assumptions!$C$41:$C$45,C72),0)</f>
        <v>12000</v>
      </c>
      <c r="K72" s="15">
        <f>SUMIF(Assumptions!$B$27:$B$31,A72,Assumptions!$C$27:$C$31)</f>
        <v>0</v>
      </c>
      <c r="L72" s="15">
        <f>SUMPRODUCT((Assumptions!$E$48:$E$54&lt;=A72)*Assumptions!$F$48:$F$54)</f>
        <v>138190</v>
      </c>
      <c r="M72" s="15">
        <f>IF(A72&lt;=Assumptions!$B$5,(I72+K72)*Assumptions!$B$10,0)</f>
        <v>0</v>
      </c>
      <c r="N72" s="15">
        <f t="shared" si="12"/>
        <v>171621.58124684173</v>
      </c>
      <c r="O72" s="15">
        <f t="shared" si="13"/>
        <v>-68890.054368096608</v>
      </c>
      <c r="P72" s="15">
        <f t="shared" si="14"/>
        <v>-1681289.7631616602</v>
      </c>
    </row>
    <row r="73" spans="1:16" x14ac:dyDescent="0.3">
      <c r="A73" s="26">
        <v>70</v>
      </c>
      <c r="B73" s="5" t="str">
        <f t="shared" si="10"/>
        <v>Year 5</v>
      </c>
      <c r="C73" s="5">
        <f t="shared" si="11"/>
        <v>5</v>
      </c>
      <c r="D73" s="27">
        <f>IF(A73=Assumptions!$B$5,1,0)+IF(AND(A73&gt;Assumptions!$B$5,C73&gt;0),INDEX(Assumptions!$B$35:$B$39,C73),0)</f>
        <v>1.5</v>
      </c>
      <c r="E73" s="27">
        <f>E72*(1-Assumptions!$B$9)+D73</f>
        <v>41.976221590225578</v>
      </c>
      <c r="F73" s="15">
        <f>E73*Assumptions!$B$6</f>
        <v>104940.55397556395</v>
      </c>
      <c r="G73" s="15">
        <f>F73*Assumptions!$B$7</f>
        <v>10494.055397556396</v>
      </c>
      <c r="H73" s="15">
        <f>E73*Assumptions!$B$8</f>
        <v>6086.5521305827087</v>
      </c>
      <c r="I73" s="15">
        <f>IF(A73&lt;=Assumptions!$B$5,Assumptions!$B$13+Assumptions!$B$14+Assumptions!$B$15+Assumptions!$B$16+IF(A73&gt;=Assumptions!$B$11,Assumptions!$B$17,0),SUM(Assumptions!$B$19:$B$24))</f>
        <v>5200</v>
      </c>
      <c r="J73" s="15">
        <f>IF(C73&gt;0,INDEX(Assumptions!$C$41:$C$45,C73),0)</f>
        <v>12000</v>
      </c>
      <c r="K73" s="15">
        <f>SUMIF(Assumptions!$B$27:$B$31,A73,Assumptions!$C$27:$C$31)</f>
        <v>0</v>
      </c>
      <c r="L73" s="15">
        <f>SUMPRODUCT((Assumptions!$E$48:$E$54&lt;=A73)*Assumptions!$F$48:$F$54)</f>
        <v>138190</v>
      </c>
      <c r="M73" s="15">
        <f>IF(A73&lt;=Assumptions!$B$5,(I73+K73)*Assumptions!$B$10,0)</f>
        <v>0</v>
      </c>
      <c r="N73" s="15">
        <f t="shared" si="12"/>
        <v>171970.60752813911</v>
      </c>
      <c r="O73" s="15">
        <f t="shared" si="13"/>
        <v>-67030.053552575162</v>
      </c>
      <c r="P73" s="15">
        <f t="shared" si="14"/>
        <v>-1748319.8167142353</v>
      </c>
    </row>
    <row r="74" spans="1:16" x14ac:dyDescent="0.3">
      <c r="A74" s="26">
        <v>71</v>
      </c>
      <c r="B74" s="5" t="str">
        <f t="shared" si="10"/>
        <v>Year 5</v>
      </c>
      <c r="C74" s="5">
        <f t="shared" si="11"/>
        <v>5</v>
      </c>
      <c r="D74" s="27">
        <f>IF(A74=Assumptions!$B$5,1,0)+IF(AND(A74&gt;Assumptions!$B$5,C74&gt;0),INDEX(Assumptions!$B$35:$B$39,C74),0)</f>
        <v>1.5</v>
      </c>
      <c r="E74" s="27">
        <f>E73*(1-Assumptions!$B$9)+D74</f>
        <v>42.846578266372191</v>
      </c>
      <c r="F74" s="15">
        <f>E74*Assumptions!$B$6</f>
        <v>107116.44566593047</v>
      </c>
      <c r="G74" s="15">
        <f>F74*Assumptions!$B$7</f>
        <v>10711.644566593048</v>
      </c>
      <c r="H74" s="15">
        <f>E74*Assumptions!$B$8</f>
        <v>6212.7538486239673</v>
      </c>
      <c r="I74" s="15">
        <f>IF(A74&lt;=Assumptions!$B$5,Assumptions!$B$13+Assumptions!$B$14+Assumptions!$B$15+Assumptions!$B$16+IF(A74&gt;=Assumptions!$B$11,Assumptions!$B$17,0),SUM(Assumptions!$B$19:$B$24))</f>
        <v>5200</v>
      </c>
      <c r="J74" s="15">
        <f>IF(C74&gt;0,INDEX(Assumptions!$C$41:$C$45,C74),0)</f>
        <v>12000</v>
      </c>
      <c r="K74" s="15">
        <f>SUMIF(Assumptions!$B$27:$B$31,A74,Assumptions!$C$27:$C$31)</f>
        <v>0</v>
      </c>
      <c r="L74" s="15">
        <f>SUMPRODUCT((Assumptions!$E$48:$E$54&lt;=A74)*Assumptions!$F$48:$F$54)</f>
        <v>138190</v>
      </c>
      <c r="M74" s="15">
        <f>IF(A74&lt;=Assumptions!$B$5,(I74+K74)*Assumptions!$B$10,0)</f>
        <v>0</v>
      </c>
      <c r="N74" s="15">
        <f t="shared" si="12"/>
        <v>172314.398415217</v>
      </c>
      <c r="O74" s="15">
        <f t="shared" si="13"/>
        <v>-65197.952749286531</v>
      </c>
      <c r="P74" s="15">
        <f t="shared" si="14"/>
        <v>-1813517.7694635219</v>
      </c>
    </row>
    <row r="75" spans="1:16" x14ac:dyDescent="0.3">
      <c r="A75" s="26">
        <v>72</v>
      </c>
      <c r="B75" s="5" t="str">
        <f t="shared" si="10"/>
        <v>Year 5</v>
      </c>
      <c r="C75" s="5">
        <f t="shared" si="11"/>
        <v>5</v>
      </c>
      <c r="D75" s="27">
        <f>IF(A75=Assumptions!$B$5,1,0)+IF(AND(A75&gt;Assumptions!$B$5,C75&gt;0),INDEX(Assumptions!$B$35:$B$39,C75),0)</f>
        <v>1.5</v>
      </c>
      <c r="E75" s="27">
        <f>E74*(1-Assumptions!$B$9)+D75</f>
        <v>43.703879592376609</v>
      </c>
      <c r="F75" s="15">
        <f>E75*Assumptions!$B$6</f>
        <v>109259.69898094152</v>
      </c>
      <c r="G75" s="15">
        <f>F75*Assumptions!$B$7</f>
        <v>10925.969898094154</v>
      </c>
      <c r="H75" s="15">
        <f>E75*Assumptions!$B$8</f>
        <v>6337.062540894608</v>
      </c>
      <c r="I75" s="15">
        <f>IF(A75&lt;=Assumptions!$B$5,Assumptions!$B$13+Assumptions!$B$14+Assumptions!$B$15+Assumptions!$B$16+IF(A75&gt;=Assumptions!$B$11,Assumptions!$B$17,0),SUM(Assumptions!$B$19:$B$24))</f>
        <v>5200</v>
      </c>
      <c r="J75" s="15">
        <f>IF(C75&gt;0,INDEX(Assumptions!$C$41:$C$45,C75),0)</f>
        <v>12000</v>
      </c>
      <c r="K75" s="15">
        <f>SUMIF(Assumptions!$B$27:$B$31,A75,Assumptions!$C$27:$C$31)</f>
        <v>0</v>
      </c>
      <c r="L75" s="15">
        <f>SUMPRODUCT((Assumptions!$E$48:$E$54&lt;=A75)*Assumptions!$F$48:$F$54)</f>
        <v>138190</v>
      </c>
      <c r="M75" s="15">
        <f>IF(A75&lt;=Assumptions!$B$5,(I75+K75)*Assumptions!$B$10,0)</f>
        <v>0</v>
      </c>
      <c r="N75" s="15">
        <f t="shared" si="12"/>
        <v>172653.03243898877</v>
      </c>
      <c r="O75" s="15">
        <f t="shared" si="13"/>
        <v>-63393.333458047244</v>
      </c>
      <c r="P75" s="15">
        <f t="shared" si="14"/>
        <v>-1876911.1029215693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Assumptions</vt:lpstr>
      <vt:lpstr>Cashflow Lean</vt:lpstr>
      <vt:lpstr>Cashflow Growth</vt:lpstr>
      <vt:lpstr>Cashflow 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Assaf</cp:lastModifiedBy>
  <dcterms:created xsi:type="dcterms:W3CDTF">2026-09-25T23:51:07Z</dcterms:created>
  <dcterms:modified xsi:type="dcterms:W3CDTF">2026-09-25T23:51:37Z</dcterms:modified>
</cp:coreProperties>
</file>